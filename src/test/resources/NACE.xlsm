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workbookPr codeName="ThisWorkbook"/>
  <mc:AlternateContent xmlns:mc="http://schemas.openxmlformats.org/markup-compatibility/2006">
    <mc:Choice Requires="x15">
      <x15ac:absPath xmlns:x15ac="http://schemas.microsoft.com/office/spreadsheetml/2010/11/ac" url="https://myoffice.accenture.com/personal/sagar_vitthal_sawant_accenture_com/Documents/Desktop/"/>
    </mc:Choice>
  </mc:AlternateContent>
  <xr:revisionPtr revIDLastSave="2" documentId="8_{8B8866C9-0A56-42B2-8B61-BC702329C0D7}" xr6:coauthVersionLast="45" xr6:coauthVersionMax="45" xr10:uidLastSave="{3159AB09-5549-4D81-A7DA-FC26A2557D88}"/>
  <bookViews>
    <workbookView xWindow="0" yWindow="0" windowWidth="23040" windowHeight="12360" xr2:uid="{00000000-000D-0000-FFFF-FFFF00000000}"/>
  </bookViews>
  <sheets>
    <sheet name="NACE_REV2_20210204_135820"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02" i="1" l="1"/>
  <c r="H399" i="1"/>
  <c r="H387" i="1"/>
  <c r="H373" i="1"/>
  <c r="H372" i="1"/>
  <c r="H370" i="1"/>
  <c r="H368" i="1"/>
  <c r="H367" i="1"/>
  <c r="H364" i="1"/>
  <c r="H354" i="1"/>
  <c r="H353" i="1"/>
  <c r="H352" i="1"/>
  <c r="H348" i="1"/>
  <c r="H333" i="1"/>
  <c r="H330" i="1"/>
  <c r="H323" i="1"/>
  <c r="H321" i="1"/>
  <c r="H290" i="1"/>
  <c r="H289" i="1"/>
  <c r="H288" i="1"/>
  <c r="H282" i="1"/>
  <c r="H275" i="1"/>
  <c r="H265" i="1"/>
  <c r="H252" i="1"/>
  <c r="H249" i="1"/>
  <c r="H238" i="1"/>
  <c r="H231" i="1"/>
  <c r="H226" i="1"/>
  <c r="H222" i="1"/>
  <c r="H219" i="1"/>
  <c r="H217" i="1"/>
  <c r="H213" i="1"/>
  <c r="H207" i="1"/>
  <c r="H205" i="1"/>
  <c r="H201" i="1"/>
  <c r="H195" i="1"/>
  <c r="H189" i="1"/>
  <c r="H186" i="1"/>
  <c r="H178" i="1"/>
  <c r="H177" i="1"/>
  <c r="H176" i="1"/>
  <c r="H174" i="1"/>
  <c r="H173" i="1"/>
  <c r="H169" i="1"/>
  <c r="H165" i="1"/>
  <c r="H164" i="1"/>
  <c r="H161" i="1"/>
  <c r="H153" i="1"/>
  <c r="H148" i="1"/>
  <c r="H135" i="1"/>
  <c r="H126" i="1"/>
  <c r="H113" i="1"/>
  <c r="H112" i="1"/>
  <c r="H110" i="1"/>
  <c r="H97" i="1"/>
  <c r="H90" i="1"/>
  <c r="H88" i="1"/>
  <c r="H78" i="1"/>
  <c r="H77" i="1"/>
  <c r="H76" i="1"/>
  <c r="H75" i="1"/>
  <c r="H73" i="1"/>
  <c r="H60" i="1"/>
  <c r="H58" i="1"/>
  <c r="H52" i="1"/>
  <c r="H50" i="1"/>
  <c r="H49" i="1"/>
  <c r="H40" i="1"/>
  <c r="H39" i="1"/>
  <c r="H33" i="1"/>
  <c r="H14" i="1"/>
  <c r="H2" i="1"/>
</calcChain>
</file>

<file path=xl/sharedStrings.xml><?xml version="1.0" encoding="utf-8"?>
<sst xmlns="http://schemas.openxmlformats.org/spreadsheetml/2006/main" count="1079" uniqueCount="937">
  <si>
    <t>Retail sale of fish, crustaceans and molluscs in specialised stores</t>
  </si>
  <si>
    <t>This class includes:
- retail sale of fish, other seafood and products thereof</t>
  </si>
  <si>
    <t>Retail sale of bread, cakes, flour confectionery and sugar confectionery in specialised stores</t>
  </si>
  <si>
    <t>Retail sale of beverages in specialised stores</t>
  </si>
  <si>
    <t>This class includes:
- retail sale of beverages (not for consumption on the premises):
  . alcoholic beverages
  . non-alcoholic beverages</t>
  </si>
  <si>
    <t>Retail sale of tobacco products in specialised stores</t>
  </si>
  <si>
    <t>This class includes:
- retail sale of tobacco
- retail sale of tobacco products</t>
  </si>
  <si>
    <t>Other retail sale of food in specialised stores</t>
  </si>
  <si>
    <t>This class includes:
- retail sale of dairy products and eggs
- retail sale of other food products n.e.c.</t>
  </si>
  <si>
    <t>Retail sale of automotive fuel in specialised stores</t>
  </si>
  <si>
    <t>This class includes:
- retail sale of fuel for motor vehicles and motorcycles</t>
  </si>
  <si>
    <t>This class also includes:
- retail sale of lubricating products and cooling products for motor vehicles</t>
  </si>
  <si>
    <t>This class excludes:
- wholesale of fuels, see 46.71
- retail sale of liquefied petroleum gas for cooking or heating, see 47.78</t>
  </si>
  <si>
    <t>Retail sale of information and communication equipment in specialised stores</t>
  </si>
  <si>
    <t>This group includes the retail sale of information and communications technology (ICT) equipment, such as computers and peripheral equipment, telecommunications equipment and consumer electronics, by specialised stores.</t>
  </si>
  <si>
    <t>Retail sale of computers, peripheral units and software in specialised stores</t>
  </si>
  <si>
    <t>This class includes:
- retail sale of computers
- retail sale of computer peripheral equipment
- retail sale of video game consoles
- retail sale of non-customised software, including video games</t>
  </si>
  <si>
    <t>This class excludes:
- retail sale of blank tapes and disks, see 47.63</t>
  </si>
  <si>
    <t>Retail sale of telecommunications equipment in specialised stores</t>
  </si>
  <si>
    <t>Retail sale of audio and video equipment in specialised stores</t>
  </si>
  <si>
    <t>This class includes:
- retail sale of radio and television equipment
- retail sale of audio and video equipment
- retail sale of CD, DVD etc. players and recorders</t>
  </si>
  <si>
    <t>Retail sale of other household equipment in specialised stores</t>
  </si>
  <si>
    <t>This group includes the retail sale of household equipment, such as textiles, hardware, carpets, electrical appliances or furniture, in specialised stores.</t>
  </si>
  <si>
    <t>Retail sale of textiles in specialised stores</t>
  </si>
  <si>
    <t>This class includes:
- retail sale of fabrics
- retail sale of knitting yarn
- retail sale of basic materials for rug, tapestry or embroidery making
- retail sale of textiles
- retail sale of haberdashery: needles, sewing thread etc.</t>
  </si>
  <si>
    <t>This class excludes:
- retail sale of clothing, see 47.71</t>
  </si>
  <si>
    <t>Retail sale of hardware, paints and glass in specialised stores</t>
  </si>
  <si>
    <t>This class includes:
- retail sale of hardware
- retail sale of paints, varnishes and lacquers
- retail sale of flat glass
- retail sale of other building material such as bricks, wood, sanitary equipment
- retail sale of do-it-yourself material and equipment</t>
  </si>
  <si>
    <t>This class also includes:
- retail sale of lawnmowers, however operated
- retail sale of saunas</t>
  </si>
  <si>
    <t>Retail sale of carpets, rugs, wall and floor coverings in specialised stores</t>
  </si>
  <si>
    <t>This class includes:
- retail sale of carpets and rugs
- retail sale of curtains and net curtains
- retail sale of wallpaper and floor coverings</t>
  </si>
  <si>
    <t>This class excludes:
- retail sale of cork floor tiles, see 47.52</t>
  </si>
  <si>
    <t>Retail sale of electrical household appliances in specialised stores</t>
  </si>
  <si>
    <t>This class excludes:
- retail sale of audio and video equipment, see 47.43</t>
  </si>
  <si>
    <t>Retail sale of furniture, lighting equipment and other household articles in specialised stores</t>
  </si>
  <si>
    <t>This class includes:
- retail sale of household furniture
- retail sale of articles for lighting
- retail sale of household utensils and cutlery, crockery, glassware, china and pottery
- retail sale of wooden, cork and wickerwork goods
- retail sale of non-electrical household appliances
- retail sale of musical instruments and scores
- retail sale of electrical security alarm systems, such as locking devices, safes, and vaults, without installation or maintenance services
- retail sale of household articles and equipment n.e.c.</t>
  </si>
  <si>
    <t>This class excludes:
- retail sale of antiques, see 47.79</t>
  </si>
  <si>
    <t>Retail sale of cultural and recreation goods in specialised stores</t>
  </si>
  <si>
    <t>This group includes the retail sale in specialised stores of cultural and recreation goods, such as books, newspapers, music and video recordings, sporting equipment, games and toys.</t>
  </si>
  <si>
    <t>Retail sale of books in specialised stores</t>
  </si>
  <si>
    <t>This class includes:
- retail sale of books of all kinds</t>
  </si>
  <si>
    <t>This class excludes:
- retail sale of second-hand or antique books, see 47.79</t>
  </si>
  <si>
    <t>Retail sale of newspapers and stationery in specialised stores</t>
  </si>
  <si>
    <t>This class also includes:
- retail sale of office supplies such as pens, pencils, paper etc.</t>
  </si>
  <si>
    <t>Retail sale of music and video recordings in specialised stores</t>
  </si>
  <si>
    <t>This class includes:
- retail sale of musical records, audio tapes, compact discs and cassettes
- retail sale of video tapes and DVDs</t>
  </si>
  <si>
    <t>This class also includes:
- retail sale of blank tapes and discs</t>
  </si>
  <si>
    <t>Retail sale of sporting equipment in specialised stores</t>
  </si>
  <si>
    <t>This class includes:
- retail sale of sports goods, fishing gear, camping goods, boats and bicycles</t>
  </si>
  <si>
    <t>Retail sale of games and toys in specialised stores</t>
  </si>
  <si>
    <t>This class includes:
- retail sale of games and toys, made of all materials</t>
  </si>
  <si>
    <t>This class excludes:
- retail sale of video game consoles, see 47.41
- retail sale of non-customised software, including video games, see 47.41</t>
  </si>
  <si>
    <t>Retail sale of other goods in specialised stores</t>
  </si>
  <si>
    <t>This group includes the sale in specialised stores carrying a particular line of products not included in other parts of the classification, such as clothing, footwear and leather articles, pharmaceutical and medical goods, watches, souvenirs, cleaning materials, weapons, flowers and pets and others.</t>
  </si>
  <si>
    <t>Also included is the retail sale of used goods in specialised stores.</t>
  </si>
  <si>
    <t>Retail sale of clothing in specialised stores</t>
  </si>
  <si>
    <t>This class includes:
- retail sale of articles of clothing
- retail sale of articles of fur
- retail sale of clothing accessories such as gloves, ties, braces etc.</t>
  </si>
  <si>
    <t>This class excludes:
- retail sale of textiles, see 47.51</t>
  </si>
  <si>
    <t>Retail sale of footwear and leather goods in specialised stores</t>
  </si>
  <si>
    <t>This class includes:
- retail sale of footwear
- retail sale of leather goods
- retail sale of travel accessories of leather and leather substitutes</t>
  </si>
  <si>
    <t>This class excludes:
- retail sale of special sports equipment footwear such as ski boots, see 47.64</t>
  </si>
  <si>
    <t>Dispensing chemist in specialised stores</t>
  </si>
  <si>
    <t>This class includes:
- retail sale of pharmaceuticals</t>
  </si>
  <si>
    <t>Retail sale of medical and orthopaedic goods in specialised stores</t>
  </si>
  <si>
    <t>Retail sale of cosmetic and toilet articles in specialised stores</t>
  </si>
  <si>
    <t>This class includes:
- retail sale of perfumery, cosmetic and toilet articles</t>
  </si>
  <si>
    <t>Retail sale of flowers, plants, seeds, fertilisers, pet animals and pet food in specialised stores</t>
  </si>
  <si>
    <t>Retail sale of watches and jewellery in specialised stores</t>
  </si>
  <si>
    <t>Other retail sale of new goods in specialised stores</t>
  </si>
  <si>
    <t>This class includes:
- retail sale of photographic, optical and precision equipment
- activities of opticians
- retail sale of souvenirs, craftwork and religious articles
- activities of commercial art galleries
- retail sale of household fuel oil, bottled gas, coal and fuel wood
- retail sale of weapons and ammunition
- retail sale of stamps and coins
- retail trade services of commercial art galleries
- retail sale of non-food products n.e.c.</t>
  </si>
  <si>
    <t>Retail sale of second-hand goods in stores</t>
  </si>
  <si>
    <t>This class includes:
- retail sale of second-hand books
- retail sale of other second-hand goods
- retail sale of antiques
- activities of auctioning houses (retail)</t>
  </si>
  <si>
    <t>This class excludes:
- retail sale of second-hand motor vehicles, see 45.1
- activities of Internet auctions and other non-store auctions (retail), see 47.91, 47.99
- activities of pawn shops, see 64.92</t>
  </si>
  <si>
    <t>Retail sale via stalls and markets</t>
  </si>
  <si>
    <t>This group includes the retail sale of any kind of new or second-hand product in a usually movable stall either along a public road or at a fixed marketplace.</t>
  </si>
  <si>
    <t>Retail sale via stalls and markets of food, beverages and tobacco products</t>
  </si>
  <si>
    <t>This class excludes:
- retail sale of prepared food for immediate consumption (mobile food vendors), see 56.10</t>
  </si>
  <si>
    <t>Retail sale via stalls and markets of textiles, clothing and footwear</t>
  </si>
  <si>
    <t>Retail sale via stalls and markets of other goods</t>
  </si>
  <si>
    <t>This class includes:
- retail sale of other goods via stalls or markets, such as:
  . carpets and rugs
  . books
  . games and toys
  . household appliances and consumer electronics
  . music and video recordings</t>
  </si>
  <si>
    <t>Retail trade not in stores, stalls or markets</t>
  </si>
  <si>
    <t>This group includes retail sale activities by mail order houses, over the Internet, through door-to-door sales, vending machines etc.</t>
  </si>
  <si>
    <t>Retail sale via mail order houses or via Internet</t>
  </si>
  <si>
    <t>This class includes retail sale activities via mail order houses or via Internet, i.e. retail sale activities where the buyer makes his choice on the basis of advertisements, catalogues, information provided on a website, models or any other means of advertising and places his order by mail, phone or over the Internet (usually through special means provided by a website). The products purchased can be either directly downloaded from the Internet or physically delivered to the customer.
This class includes:
- retail sale of any kind of product by mail order 
- retail sale of any kind of product over the Internet</t>
  </si>
  <si>
    <t>This class also includes:
- direct sale via television, radio and telephone
- Internet retail auctions</t>
  </si>
  <si>
    <t>This class excludes:
- retail sale of motor vehicles and motor vehicles parts and accessories over the Internet, see groups 45.1, 45.3
- retail sale of motorcycles and motorcycles parts and accessories over the Internet, see 45.40</t>
  </si>
  <si>
    <t>Other retail sale not in stores, stalls or markets</t>
  </si>
  <si>
    <t>This class includes:
- retail sale of any kind of product in any way that is not included in previous classes:
  . by direct sales or door-to-door sales persons
  . through vending machines etc.
- direct selling of fuel (heating oil, firewood, etc.), delivered to the customers premises
- activities of non-store auctions (retail, except Internet)
- retail sale by (non-store) commission agents</t>
  </si>
  <si>
    <t>H</t>
  </si>
  <si>
    <t>TRANSPORTATION AND STORAGE</t>
  </si>
  <si>
    <t>This section includes the provision of passenger or freight transport, whether scheduled or not, by rail, pipeline, road, water or air and associated activities such as terminal and parking facilities, cargo handling, storage etc. Included in this section is the rental of transport equipment with driver or operator. Also included are postal and courier activities.</t>
  </si>
  <si>
    <t>This section excludes:
- major repair or alteration of transport equipment, except motor vehicles, see group 33.1
- construction, maintenance and repair of roads, railways, harbours, airfields, see division 42
- maintenance and repair of motor vehicles, see 45.20
- rental of transport equipment without driver or operator, see 77.1, 77.3</t>
  </si>
  <si>
    <t>Land transport and transport via pipelines</t>
  </si>
  <si>
    <t>This division includes the transport of passengers and freight via road and rail, as well as freight transport via pipelines.</t>
  </si>
  <si>
    <t>Passenger rail transport, interurban</t>
  </si>
  <si>
    <t>This class includes:
- rail transportation of passengers using railroad rolling stock on mainline networks, spread over an extensive geographic area
- passenger transport by interurban railways 
- operation of sleeping cars or dining cars as an integrated operation of railway companies</t>
  </si>
  <si>
    <t>This class excludes:
- passenger transport by urban and suburban transit systems, see 49.31
- passenger terminal activities, see 52.21
- operation of railroad infrastructure; related activities such as switching and shunting, see 52.21
- operation of sleeping cars or dining cars when operated by separate units, see 55.90, 56.10</t>
  </si>
  <si>
    <t>Freight rail transport</t>
  </si>
  <si>
    <t>This class includes:
- freight transport on mainline rail networks as well as short line freight railroads</t>
  </si>
  <si>
    <t>This class excludes:
- warehousing and storage, see 52.10
- freight terminal activities, see 52.21
- operation of railroad infrastructure; related activities such as switching and shunting, see 52.21
- cargo handling, see 52.24</t>
  </si>
  <si>
    <t xml:space="preserve">Other passenger land transport </t>
  </si>
  <si>
    <t>This group includes all land-based passenger transport activities other than rail transport. However, rail transport as part of urban or suburban transport systems is included there.</t>
  </si>
  <si>
    <t>Urban and suburban passenger land transport</t>
  </si>
  <si>
    <t>This class includes:
- land transport of passengers by urban or suburban transport systems. This may include different modes of land transport, such as by motor bus, tramway, streetcar, trolley bus, underground and elevated railways etc. The transport is carried out on scheduled routes normally following a fixed time schedule, entailing the picking up and setting down of passengers at normally fixed stops.</t>
  </si>
  <si>
    <t>This class also includes:
- town-to-airport or town-to-station lines
- operation of funicular railways, aerial cableways etc. if part of urban or suburban transit systems</t>
  </si>
  <si>
    <t>This class excludes:
- passenger transport by interurban railways, see 49.10</t>
  </si>
  <si>
    <t>Taxi operation</t>
  </si>
  <si>
    <t>This class also includes:
- other rental of private cars with driver</t>
  </si>
  <si>
    <t>Other passenger land transport n.e.c.</t>
  </si>
  <si>
    <t>This class includes:
- other passenger road transport:
  . scheduled long-distance bus services
  . charters, excursions and other occasional coach services
  . airport shuttles
- operation of teleferics, funiculars, ski and cable lifts if not part of urban or suburban transit systems</t>
  </si>
  <si>
    <t>This class also includes:
- operation of school buses and buses for transport of employees
- passenger transport by man- or animal-drawn vehicles</t>
  </si>
  <si>
    <t>This class excludes:
- ambulance transport, see 86.90</t>
  </si>
  <si>
    <t>Freight transport by road and removal services</t>
  </si>
  <si>
    <t>This group includes all land-based freight transport activities other than rail transport.</t>
  </si>
  <si>
    <t>Freight transport by road</t>
  </si>
  <si>
    <t>This class includes:
- all freight transport operations by road:
  . logging haulage
  . stock haulage
  . refrigerated haulage
  . heavy haulage
  . bulk haulage, including haulage in tanker trucks including milk collection at farms
  . haulage of automobiles
  . transport of waste and waste materials, without collection or disposal</t>
  </si>
  <si>
    <t>This class also includes:
- rental of trucks with driver
- freight transport by man or animal-drawn vehicles</t>
  </si>
  <si>
    <t>This class excludes:
- log hauling within the forest, as part of logging operations, see 02.40
- distribution of water by trucks, see 36.00
- operation of terminal facilities for handling freight, see 52.21
- crating and packing activities for transport, see 52.29
- post and courier activities, see 53.10, 53.20
- waste transport as integrated part of waste collection activities, see 38.11, 38.12</t>
  </si>
  <si>
    <t>Removal services</t>
  </si>
  <si>
    <t>This class includes:
- removal (relocation) services to businesses and households by road transport</t>
  </si>
  <si>
    <t>Transport via pipeline</t>
  </si>
  <si>
    <t>This class includes:
- transport of gases, liquids, water, slurry and other commodities via pipelines</t>
  </si>
  <si>
    <t>This class also includes:
- operation of pump stations</t>
  </si>
  <si>
    <t>This class excludes:
- distribution of natural or manufactured gas, steam or water, see 35.22, 35.30, 36.00
- transport of liquids by trucks, see 49.41</t>
  </si>
  <si>
    <t>Water transport</t>
  </si>
  <si>
    <t>This division includes the transport of passengers or freight over water, whether scheduled or not. Also included are the operation of towing or pushing boats, excursion, cruise or sightseeing boats, ferries, water taxis etc. Although the location is an indicator for the separation between sea and inland water transport, the deciding factor is the type of vessel used. Transport on sea-going vessels is classified in groups 50.1 and 50.2, while transport using other vessels is classified in groups 50.3 and 50.4.</t>
  </si>
  <si>
    <t>This division excludes restaurant and bar activities on board ships (see 56.10, 56.30), if carried out by separate units.</t>
  </si>
  <si>
    <t>Sea and coastal passenger water transport</t>
  </si>
  <si>
    <t>This group includes the transport of passengers on vessels designed for operating on sea or coastal waters.</t>
  </si>
  <si>
    <t>Also included is the transport of passengers on great lakes etc. when similar types of vessels are used.</t>
  </si>
  <si>
    <t>This class includes:
- transport of passengers over seas and coastal waters, whether scheduled or not:
  . operation of excursion, cruise or sightseeing boats
  . operation of ferries, water taxis etc.</t>
  </si>
  <si>
    <t>This class also includes:
- rental of pleasure boats with crew for sea and coastal water transport (e.g. for fishing cruises)</t>
  </si>
  <si>
    <t>This class excludes:
- restaurant and bar activities on board ships, when provided by separate units, see 56.10, 56.30
- rental of pleasure boats and yachts without crew, see 77.21
- rental of commercial ships or boats without crew, see 77.34
- operation of "floating casinosâ€, see 92.00</t>
  </si>
  <si>
    <t>Sea and coastal freight water transport</t>
  </si>
  <si>
    <t>This group includes the transport of freight on vessels designed for operating on sea or coastal waters.</t>
  </si>
  <si>
    <t>Also included is the transport of freight on great lakes etc. when similar types of vessels are used.</t>
  </si>
  <si>
    <t>This class includes:
- transport of freight over seas and coastal waters, whether scheduled or not
- transport by towing or pushing of barges, oil rigs etc.</t>
  </si>
  <si>
    <t>This class also includes:
- rental of vessels with crew for sea and coastal freight water transport</t>
  </si>
  <si>
    <t>This class excludes:
- storage of freight, see 52.10
- harbour operation and other auxiliary activities such as docking, pilotage, lighterage, vessel salvage, see 52.22
- cargo handling, see 52.24
- rental of commercial ships or boats without crew, see 77.34</t>
  </si>
  <si>
    <t>Inland passenger water transport</t>
  </si>
  <si>
    <t>This group includes the transport of passengers on inland waters, involving vessels that are not suitable for sea transport.</t>
  </si>
  <si>
    <t>This class includes:
- transport of passengers via rivers, canals, lakes and other inland waterways, including inside harbours and ports</t>
  </si>
  <si>
    <t>This class also includes:
- rental of pleasure boats with crew for inland water transport</t>
  </si>
  <si>
    <t>This class excludes:
- rental of pleasure boats and yachts without crew, see 77.21</t>
  </si>
  <si>
    <t>Inland freight water transport</t>
  </si>
  <si>
    <t>This group includes the transport of freight on inland waters, involving vessels that are not suitable for sea transport.</t>
  </si>
  <si>
    <t>This class includes:
- transport of freight via rivers, canals, lakes and other inland waterways, including inside harbours and ports</t>
  </si>
  <si>
    <t>This class also includes:
- rental of vessels with crew for inland freight water transport</t>
  </si>
  <si>
    <t>This class excludes:
- cargo handling, see 52.24
- rental of commercial ships or boats without crew, see 77.34</t>
  </si>
  <si>
    <t>Air transport</t>
  </si>
  <si>
    <t>This division includes the transport of passengers or freight by air or via space.</t>
  </si>
  <si>
    <t>This division excludes:
- crop spraying, see 01.61
- repair and maintenance of aircraft or aircraft engines, see 33.16
- operation of airports, see 52.23
- aerial advertising (sky-writing), see 73.11
- aerial photography, see 74.20</t>
  </si>
  <si>
    <t>Passenger air transport</t>
  </si>
  <si>
    <t>This class includes:
- transport of passengers by air over regular routes and on regular schedules
- charter flights for passengers
- scenic and sightseeing flights</t>
  </si>
  <si>
    <t>This class also includes:
- rental of air transport equipment with operator for the purpose of passenger transportation
- general aviation activities, such as:
  . transport of passengers by aero clubs for instruction or pleasure</t>
  </si>
  <si>
    <t>This class excludes:
- rental of air transport equipment without operator, see 77.35</t>
  </si>
  <si>
    <t>Freight air transport and space transport</t>
  </si>
  <si>
    <t>Freight air transport</t>
  </si>
  <si>
    <t>This class includes:
- transport freight by air over regular routes and on regular schedules
- non-scheduled transport of freight by air</t>
  </si>
  <si>
    <t>This class also includes:
- rental of air transport equipment with operator for the purpose of freight transportation</t>
  </si>
  <si>
    <t>Space transport</t>
  </si>
  <si>
    <t>This class includes:
- launching of satellites and space vehicles
- space transport of freight and passengers</t>
  </si>
  <si>
    <t>Warehousing and support activities for transportation</t>
  </si>
  <si>
    <t>This division includes warehousing and support activities for transportation, such as operating of transport infrastructure (e.g. airports, harbours, tunnels, bridges, etc.), the activities of transport agencies and cargo handling.</t>
  </si>
  <si>
    <t>Warehousing and storage</t>
  </si>
  <si>
    <t>This class includes:
- operation of storage and warehouse facilities for all kinds of goods:
  . operation of grain silos, general merchandise warehouses, refrigerated warehouses, storage tanks etc.</t>
  </si>
  <si>
    <t>This class also includes:
- storage of goods in foreign trade zones
- blast freezing</t>
  </si>
  <si>
    <t>This class excludes:
- parking facilities for motor vehicles, see 52.21
- operation of self storage facilities, see 68.20
- rental of vacant space, see 68.20</t>
  </si>
  <si>
    <t>Support activities for transportation</t>
  </si>
  <si>
    <t>This group includes activities supporting the transport of passengers or freight, such as operation of parts of the transport infrastructure or activities related to handling freight immediately before or after transport or between transport segments. The operation and maintenance of all transport facilities is included.</t>
  </si>
  <si>
    <t>Service activities incidental to land transportation</t>
  </si>
  <si>
    <t>This class includes:
- activities related to land transport of passengers, animals or freight:
  . operation of terminal facilities such as railway stations, bus stations, stations for the handling of goods
  . operation of railroad infrastructure
  . operation of roads, bridges, tunnels, car parks or garages, bicycle parkings, winter storage of caravans
- switching and shunting
- towing and road side assistance</t>
  </si>
  <si>
    <t>This class also includes:
- liquefaction of gas for transportation purposes</t>
  </si>
  <si>
    <t>This class excludes:
- cargo handling, see 52.24</t>
  </si>
  <si>
    <t>Service activities incidental to water transportation</t>
  </si>
  <si>
    <t>This class includes:
- activities related to water transport of passengers, animals or freight:
  . operation of terminal facilities such as harbours and piers
  . operation of waterway locks etc.
  . navigation, pilotage and berthing activities
  . lighterage, salvage activities
  . lighthouse activities</t>
  </si>
  <si>
    <t>This class excludes:
- cargo handling, see 52.24
- operation of marinas, see 93.29</t>
  </si>
  <si>
    <t>Service activities incidental to air transportation</t>
  </si>
  <si>
    <t>This class includes:
- activities related to air transport of passengers, animals or freight:
  . operation of terminal facilities such as airway terminals etc.
  . airport and air-traffic-control activities
  . ground service activities on airfields etc.</t>
  </si>
  <si>
    <t>This class also includes:
- fire fighting and fire prevention services at airports</t>
  </si>
  <si>
    <t>This class excludes:
- cargo handling, see 52.24
- operation of flying schools, see 85.32, 85.53</t>
  </si>
  <si>
    <t>Cargo handling</t>
  </si>
  <si>
    <t>This class includes:
- loading and unloading of goods or passengers' luggage irrespective of the mode of transport used for transportation
- stevedoring
- loading and unloading of freight railway cars</t>
  </si>
  <si>
    <t>This class excludes:
- operation of terminal facilities, see 52.21, 52.22 and 52.23</t>
  </si>
  <si>
    <t xml:space="preserve">Other transportation support activities </t>
  </si>
  <si>
    <t>This class includes:
- forwarding of freight
- arranging or organising of transport operations by rail, road, sea or air
- organisation of group and individual consignments (including pickup and delivery of goods and grouping of consignments)
- issue and procurement of transport documents and waybills
- activities of customs agents
- activities of sea-freight forwarders and air-cargo agents
- brokerage for ship and aircraft space
- goods-handling operations, e.g. temporary crating for the sole purpose of protecting the goods during transit, uncrating, sampling, weighing of goods</t>
  </si>
  <si>
    <t>This class excludes:
- courier activities, see 53.20
- provision of motor, marine, aviation and transport insurance, see 65.12
- activities of travel agencies, see 79.11
- activities of tour operators, see 79.12
- tourist assistance activities, see 79.90</t>
  </si>
  <si>
    <t>Postal and courier activities</t>
  </si>
  <si>
    <t>This division includes postal and courier activities, such as pickup, transport and delivery of letters and parcels under various arrangements.</t>
  </si>
  <si>
    <t>Local delivery and messenger services are also included.</t>
  </si>
  <si>
    <t>Postal activities under universal service obligation</t>
  </si>
  <si>
    <t>This class includes the activities of postal services operating under a universal service obligation by one or more designated universal service providers. The activities include use of the universal service infrastructure, including retail locations, sorting and processing facilities, and carrier routes to pickup and deliver the mail. The delivery can include letter-post, i.e. letters, postcards, printed papers (newspaper, periodicals, advertising items, etc.), small packets, goods or documents. Also included are other services necessary to support the universal service obligation.
This class includes:
- pickup, sorting, transport and delivery (domestic or international) of letter-post and (mail-type) parcels and packages by postal services operating under a universal service obligation. One or more modes of transport may be involved and the activity may be carried out with either self-owned (private) transport or via public transport.
- collection of letter-mail and parcels from public letter-boxes or from post offices</t>
  </si>
  <si>
    <t>This class excludes:
- postal giro, postal savings activities and money order activities, see 64.19</t>
  </si>
  <si>
    <t>Other postal and courier activities</t>
  </si>
  <si>
    <t>This class includes:
- pickup, sorting, transport and delivery (domestic or international) of letter-post and (mail-type) parcels and packages by firms operating outside the scope of a universal service obligation. One or more modes of transport may be involved and the activity may be carried out with either self-owned (private) transport or via public transport.</t>
  </si>
  <si>
    <t>This class also includes:
- home delivery services</t>
  </si>
  <si>
    <t>This class excludes:
- transport of freight, see (according to mode of transport) 49.20, 49.41, 50.20, 50.40, 51.21, 51.22</t>
  </si>
  <si>
    <t>I</t>
  </si>
  <si>
    <t>ACCOMMODATION AND FOOD SERVICE ACTIVITIES</t>
  </si>
  <si>
    <t>This section includes the provision of short-stay accommodation for visitors and other travellers and the provision of complete meals and drinks fit for immediate consumption. The amount and type of supplementary services provided within this section can vary widely.</t>
  </si>
  <si>
    <t>This section excludes the provision of long-term accommodation as primary residences, which is classified in real estate activities (section L). Also excluded is the preparation of food or drinks that are either not fit for immediate consumption or that are sold through independent distribution channels, i.e. through wholesale or retail trade activities. The preparation of these foods is classified in manufacturing (section C).</t>
  </si>
  <si>
    <t>Accommodation</t>
  </si>
  <si>
    <t>This division includes the provision of short-stay accommodation for visitors and other travellers.</t>
  </si>
  <si>
    <t>Also included is the provision of longer term accommodation for students, workers and similar individuals. Some units may provide only accommodation while others provide a combination of accommodation, meals and/or recreational facilities.</t>
  </si>
  <si>
    <t>This division excludes activities related to the provision of long-term primary residences in facilities such as apartments typically leased on a monthly or annual basis classified in real estate (section L).</t>
  </si>
  <si>
    <t>Hotels and similar accommodation</t>
  </si>
  <si>
    <t>This class includes the provision of accommodation, typically on a daily or weekly basis, principally for short stays by visitors. This includes the provision of furnished accommodation in guest rooms and suites. Services include daily cleaning and bed-making. A range of additional services may be provided such as food and beverage services, parking, laundry services, swimming pools and exercise rooms, recreational facilities as well as conference and convention facilities.
This class includes accommodation provided by:
- hotels
- resort hotels 
- suite/apartment hotels
- motels</t>
  </si>
  <si>
    <t>This class excludes:
- provision of homes and furnished or unfurnished flats or apartments for more permanent use, typically on a monthly or annual basis, see division 68</t>
  </si>
  <si>
    <t>Holiday and other short-stay accommodation</t>
  </si>
  <si>
    <t>This class includes the provision of accommodation, typically on a daily or weekly basis, principally for short stays by visitors, in self-contained space consisting of complete furnished rooms or areas for living/dining and sleeping, with cooking facilities or fully equipped kitchens. This may take the form of apartments or flats in small free-standing multi-storey buildings or clusters of buildings, or single storey bungalows, chalets, cottages and cabins. Very minimal complementary services, if any, are provided. 
This class includes accommodation provided by:
- children's and other holiday homes
- visitor flats and bungalows
- cottages and cabins without housekeeping services
- youth hostels and mountain refuges</t>
  </si>
  <si>
    <t>This class excludes:
- provision of furnished short-stay accommodation with daily cleaning, bed-making, food and beverage services, see 55.10
- provision of homes and furnished or unfurnished flats or apartments for more permanent use, typically on a monthly or annual basis, see division 68</t>
  </si>
  <si>
    <t>Camping grounds, recreational vehicle parks and trailer parks</t>
  </si>
  <si>
    <t>This class includes:
- provision of accommodation in campgrounds, trailer parks, recreational camps and fishing and hunting camps for short stay visitors
- provision of space and facilities for recreational vehicles</t>
  </si>
  <si>
    <t>This class also includes accommodation provided by:
- protective shelters or plain bivouac facilities for placing tents and/or sleeping bags</t>
  </si>
  <si>
    <t>This class excludes:
- mountain refuge, cabins and hostels, see 55.20</t>
  </si>
  <si>
    <t>Other accommodation</t>
  </si>
  <si>
    <t>This class includes the provision temporary or longer-term accommodation in single or shared rooms or dormitories for students, migrant (seasonal) workers and other individuals. 
This class includes:
- student residences
- school dormitories
- workers hostels 
- rooming and boarding houses
- railway sleeping cars</t>
  </si>
  <si>
    <t>Food and beverage service activities</t>
  </si>
  <si>
    <t>This division includes food and beverage serving activities providing complete meals or drinks fit for immediate consumption, whether in traditional restaurants, self-service or take-away restaurants, whether as permanent or temporary stands with or without seating. Decisive is the fact that meals fit for immediate consumption are offered, not the kind of facility providing them.</t>
  </si>
  <si>
    <t>Excluded is the production of meals not fit for immediate consumption or not planned to be consumed immediately or of prepared food which is not considered to be a meal (see divisions 10: manufacture of food products and 11: manufacture of beverages). Also excluded is the sale of not self-manufactured food that is not considered to be a meal or of meals that are not fit for immediate consumption (see section G: wholesale and retail trade).</t>
  </si>
  <si>
    <t>Restaurants and mobile food service activities</t>
  </si>
  <si>
    <t>This class includes the provision of food services to customers, whether they are served while seated or serve themselves from a display of items, whether they eat the prepared meals on the premises, take them out or have them delivered. This includes the preparation and serving of meals for immediate consumption from motorised vehicles or non-motorised carts.
This class includes activities of:
- restaurants
- cafeterias
- fast-food restaurants
- take-out eating places
- ice cream truck vendors
- mobile food carts
- food preparation in market stalls</t>
  </si>
  <si>
    <t>This class also includes:
- restaurant and bar activities connected to transportation, when carried out by separate units</t>
  </si>
  <si>
    <t>This class excludes:
- retail sale of food through vending machines, see 47.99
- concession operation of eating facilities, see 56.29</t>
  </si>
  <si>
    <t>Event catering and other food service activities</t>
  </si>
  <si>
    <t>This group includes catering activities for individual events or for a specified period of time and the operation of food concessions, such as at sports or similar facilities.</t>
  </si>
  <si>
    <t>Event catering activities</t>
  </si>
  <si>
    <t>This class includes the provision of food services based on contractual arrangements with the customer, at the location specified by the customer, for a specific event.</t>
  </si>
  <si>
    <t>This class excludes:
- manufacture of perishable food items for resale, see 10.89
- retail sale of perishable food items, see division 47</t>
  </si>
  <si>
    <t>Other food service activities</t>
  </si>
  <si>
    <t>This class includes industrial catering, i.e. the provision of food services based on contractual arrangements with the customer, for a specific period of time. Also included is the operation of food concessions at sports and similar facilities. The food is usually prepared in a central unit.
This class includes:
- activities of food service contractors (e.g. for transportation companies)
- operation of food concessions at sports and similar facilities
- operation of canteens or cafeterias (e.g. for factories, offices, hospitals or schools) on a concession basis</t>
  </si>
  <si>
    <t>Beverage serving activities</t>
  </si>
  <si>
    <t>This class includes preparation and serving of beverages for immediate consumption on the premises.
This class includes activities of:
- bars
- taverns
- cocktail lounges
- discotheques (with beverage serving predominant)
- beer parlours
- coffee shops
- fruit juice bars
- mobile beverage vendors</t>
  </si>
  <si>
    <t>This class excludes:
- reselling packaged/prepared beverages, see 47
- retail sale of beverages through vending machines, see 47.99
- operation of discotheques and dance floors without beverage serving, see 93.29</t>
  </si>
  <si>
    <t>J</t>
  </si>
  <si>
    <t>INFORMATION AND COMMUNICATION</t>
  </si>
  <si>
    <t>This section includes the production and distribution of information and cultural products, the provision of the means to transmit or distribute these products, as well as data or communications, information technology activities and the processing of data and other information service activities.
The main components of this section are publishing activities (division 58), including software publishing, motion picture and sound recording activities (division 59), radio and TV broadcasting and programming activities (division 60), telecommunications activities (division 61), information technology activities (division 62) and other information service activities (division 63).
Publishing includes the acquisition of copyrights for content (information products) and making this content available to the general public by engaging in (or arranging for) the reproduction and distribution of this content in various forms. All the feasible forms of publishing (in print, electronic or audio form, on the Internet, as multimedia products such as CD-ROM reference books etc.) are included in this section.
Activities related to production and distribution of TV programming span divisions 59, 60 and 61, reflecting different stages in this process. Individual components, such as movies, television series etc. are produced by activities in division 59, while the creation of a complete television channel programme, from components produced in division 59 or other components (such as live news programming) is included in division 60. Division 60 also includes the broadcasting of this programme by the producer. The distribution of the complete television programme by third parties, i.e. without any alteration of the content, is included in division 61. This distribution in division 61 can be done through broadcasting, satellite or cable systems.</t>
  </si>
  <si>
    <t>Publishing activities</t>
  </si>
  <si>
    <t>This division includes the publishing of books, brochures, leaflets, dictionaries, encyclopaedias, atlases, maps and charts; publishing of newspapers, journals and periodicals; directory and mailing list and other publishing, as well as software publishing.
Publishing includes the acquisition of copyrights to content (information products) and making this content available to the general public by engaging in (or arranging for) the reproduction and distribution of this content in various forms. All the feasible forms of publishing (in print, electronic or audio form, on the Internet, as multimedia products such as CD-ROM reference books etc.), except publishing of motion pictures, are included in this division.</t>
  </si>
  <si>
    <t>This division excludes the publishing of motion pictures, video tapes and movies on DVD or similar media (division 59) and the production of master copies for records or audio material (division 59). Also excluded is printing (see 18.11, 18.12) and the mass reproduction of recorded media (see 18.20).</t>
  </si>
  <si>
    <t>Publishing of books, periodicals and other publishing activities</t>
  </si>
  <si>
    <t>This group includes activities of publishing books, newspapers, magazines and other periodicals, directories and mailing lists, and other works such as photos, engravings, postcards, timetables, forms, posters and reproductions of works of art. These works are characterised by the intellectual creativity required in their development and are usually protected by copyright.</t>
  </si>
  <si>
    <t>Book publishing</t>
  </si>
  <si>
    <t>This class includes the activities of publishing of books in print, electronic (CD, electronic displays etc.) or audio form or on the Internet.
Included are:
- publishing of books, brochures, leaflets and similar publications, including publishing of dictionaries and encyclopaedias
- publishing of atlases, maps and charts
- publishing of audio books
- publishing of encyclopaedias etc. on CD-ROM</t>
  </si>
  <si>
    <t>This class excludes:
- production of globes, see 32.99
- publishing of advertising material, see 58.19
- publishing of music and sheet books, see 59.20
- activities of independent authors, see 90.03</t>
  </si>
  <si>
    <t>Publishing of directories and mailing lists</t>
  </si>
  <si>
    <t>This class includes the publishing of lists of facts/information (databases), that are protected in their form, but not in their content. These lists can be published in printed or electronic form.
This class includes:
- publishing of mailing lists
- publishing of telephone books
- publishing of other directories and compilations, such as case law, pharmaceutical compendia etc.</t>
  </si>
  <si>
    <t>Publishing of newspapers</t>
  </si>
  <si>
    <t>This class includes the publishing of newspapers, including advertising newspapers, appearing at least four times a week. Publishing can be done in print or electronic form, including on the Internet.</t>
  </si>
  <si>
    <t>This class excludes:
- news agency activities, see 63.91</t>
  </si>
  <si>
    <t>Publishing of journals and periodicals</t>
  </si>
  <si>
    <t>This class includes the publishing of periodicals and other journals, appearing less than four times a week. Publishing can be done in print or electronic form, including on the Internet. Publishing of radio and television schedules is included here.</t>
  </si>
  <si>
    <t>Other publishing activities</t>
  </si>
  <si>
    <t>This class includes:
- publishing (including on-line) of:
  . catalogues 
  . photos, engravings and postcards
  . greeting cards
  . forms
  . posters, reproduction of works of art
  . advertising material
  . other printed matter
- on-line publishing of statistics and other information</t>
  </si>
  <si>
    <t>This class excludes:
- publishing of advertising newspapers, see 58.13
- on-line provision of software (application hosting and application service provisioning), see 63.11</t>
  </si>
  <si>
    <t>Software publishing</t>
  </si>
  <si>
    <t>Publishing of computer games</t>
  </si>
  <si>
    <t>This class includes: 
- publishing of computer games for all platforms</t>
  </si>
  <si>
    <t>Other software publishing</t>
  </si>
  <si>
    <t>This class includes:
- publishing of ready-made (non-customised) software, including translation or adaptation of non-customised software for a particular market on own account:
  . operating systems
  . business and other applications</t>
  </si>
  <si>
    <t>This class excludes:
- reproduction of software, see 18.20
- retail sale of non-customised software, see 47.41
- production of software not associated with publishing, including translation or adaptation of non-customised software for a particular market on a fee or contract basis, see 62.01
- on-line provision of software (application hosting and application service provisioning), see 63.11</t>
  </si>
  <si>
    <t>Motion picture, video and television programme production, sound recording and music publishing activities</t>
  </si>
  <si>
    <t>This division includes production of theatrical and non-theatrical motion pictures whether on film, video tape or disc for direct projection in theatres or for broadcasting on television; supporting activities such as film editing, cutting, dubbing etc.; distribution of motion pictures and other film productions to other industries; as well as motion picture or other film productions projection. Buying and selling of motion picture or other film productions distribution rights is also included.</t>
  </si>
  <si>
    <t>This division also includes the sound recording activities, i.e. production of original sound master recordings, releasing, promoting and distributing them, publishing of music as well as sound recording service activities in a studio or elsewhere.</t>
  </si>
  <si>
    <t>Motion picture, video and television programme activities</t>
  </si>
  <si>
    <t>This group includes production of theatrical and non-theatrical motion pictures whether on film, video tape, DVD or other media, including digital distribution, for direct projection in theatres or for broadcasting on television; supporting activities such as film editing, cutting, dubbing etc.; distribution of motion pictures or other film productions (video tapes, DVDs, etc) to other industries; as well as their projection.</t>
  </si>
  <si>
    <t>Buying and selling of motion picture or any other film production distribution rights is also included.</t>
  </si>
  <si>
    <t>Motion picture, video and television programme production activities</t>
  </si>
  <si>
    <t>This class includes:
- production of motion pictures, videos, television programmes (televisions series, documentaries etc.), or television advertisements</t>
  </si>
  <si>
    <t>This class excludes:
- film duplicating (except reproduction of motion picture film for theatrical distribution) as well as audio and video tape, CD or DVD reproduction from master copies, see 18.20
- wholesale of recorded video tapes, CDs, DVDs, see 46.43
- wholesale of blank video tapes, CDs, see 46.52
- retail trade of video tapes, CDs, DVDs, see 47.63
- post-production activities, see 59.12
- sound recording and recording of books on tape, see 59.20
- television broadcasting, see 60.2
- creating a complete television channel programme, see 60.2
- film processing other than for the motion picture industry, see 74.20
- activities of personal theatrical or artistic agents or agencies, see 74.90
- rental of video tapes, DVDs to the general public, see 77.22
- real-time (i.e. simultaneous) closed captioning of live television performances, meetings, conferences, etc., see 82.99
- activities of own account actors, cartoonists, directors, stage designers and technical specialists, see 90.0</t>
  </si>
  <si>
    <t>Motion picture, video and television programme post-production activities</t>
  </si>
  <si>
    <t>This class includes post-production activities such as editing, film/tape transfers, titling, subtitling, credits, closed captioning, computer-produced graphics, animation and special effects, developing and processing motion picture film, as well as activities of motion picture film laboratories and activities of special laboratories for animated films.</t>
  </si>
  <si>
    <t>This class also includes:
- activities of stock footage film libraries etc.</t>
  </si>
  <si>
    <t>This class excludes:
- film duplicating (except reproduction of motion picture film for theatrical distribution) as well as audio and video tape, CD or DVD reproduction from master copies, see 18.20
- wholesale of recorded video tapes, CDs, DVDs, see 46.43
- wholesale of blank video tapes, CDs, see 46.52
- retail trade of video tapes, CDs, DVDs, see 47.63
- film processing other than for the motion picture industry, see 74.20
- rental of video tapes, DVDs to the general public, see 77.22
- activities of own account actors, cartoonists, directors, stage designers and technical specialists, see 90.0</t>
  </si>
  <si>
    <t>Motion picture, video and television programme distribution activities</t>
  </si>
  <si>
    <t>This class includes:
- distributing film, video tapes, DVDs and similar productions to motion picture theatres, television networks and stations, and exhibitors</t>
  </si>
  <si>
    <t>This class also includes:
- acquiring film, video tape and DVD distribution rights</t>
  </si>
  <si>
    <t>This class excludes:
- film duplicating as well as audio and video tape, CD or DVD reproduction from master copies, see 18.20
- wholesale of recorded video tapes and DVDs, see 46.43
- retail sale of recorded video tapes and DVDs, see 47.63</t>
  </si>
  <si>
    <t>Motion picture projection activities</t>
  </si>
  <si>
    <t>This class includes:
- activities of motion picture or video tape projection in cinemas, in the open air or in other projection facilities
- activities of cine-clubs</t>
  </si>
  <si>
    <t>Sound recording and music publishing activities</t>
  </si>
  <si>
    <t>This class includes the activities of production of original (sound) master recordings, such as tapes, CDs; releasing, promoting and distributing sound recordings to wholesalers, retailers or directly to the public. These activities might be integrated or not with the production of master recordings in the same unit. If not, the unit exercising these activities has to obtain the reproduction and distribution rights to master recordings.</t>
  </si>
  <si>
    <t>This class also includes sound recording service activities in a studio or elsewhere, including the production of taped ( i.e. non-live) radio programming.
This class also includes the activities of music publishing, i.e. activities of acquiring and registering copyrights for musical compositions, promoting, authorising and using these compositions in recordings, radio, television, motion pictures, live performances, print and other media. Units engaged in these activities may own the copyright or act as administrator of the music copyrights on behalf of the copyright owners. Publishing of music and sheet books is included here.</t>
  </si>
  <si>
    <t>Programming and broadcasting activities</t>
  </si>
  <si>
    <t>This division includes the activities of creating content or acquiring the right to distribute content and subsequently broadcasting that content, such as radio, television and data programs of entertainment, news, talk, and the like. Also included is data broadcasting, typically integrated with radio or TV broadcasting. The broadcasting can be performed using different technologies, over-the-air, via satellite, via a cable network or via Internet.</t>
  </si>
  <si>
    <t>This division also includes the production of programs that are typically narrowcast in nature (limited format, such as news, sports, education, and youth-oriented programming) on a subscription or fee basis, to a third party, for subsequent broadcasting to the public.</t>
  </si>
  <si>
    <t>This division excludes the distribution of cable and other subscription programming (see division 61).</t>
  </si>
  <si>
    <t>Radio broadcasting</t>
  </si>
  <si>
    <t>This class includes:
- activities of broadcasting audio signals through radio broadcasting studios and facilities for the transmission of aural programming to the public, to affiliates or to subscribers</t>
  </si>
  <si>
    <t>This class also includes:
- activities of radio networks, i.e. assembling and transmitting aural programming to the affiliates or subscribers via over-the-air broadcasts, cable or satellite
- radio broadcasting activities over the Internet (Internet radio stations) 
- data broadcasting integrated with radio broadcasting</t>
  </si>
  <si>
    <t>This class excludes:
- the production of taped radio programming, see 59.20</t>
  </si>
  <si>
    <t>Television programming and broadcasting activities</t>
  </si>
  <si>
    <t>This class includes the creation of a complete television channel programme, from purchased programme components (e.g. movies, documentaries etc.), self produced programme components (e.g. local news, live reports) or a combination thereof. 
This complete television programme can be either broadcast by the producing unit or produced for transmission by a third party distributor, such as cable companies or satellite television providers.
The programming may be of a general or specialised nature (e.g. limited formats such as news, sports, education or youth oriented programming). This class includes programming that is made freely available to users, as well as programming that is available only on a subscription basis. The programming of video-on-demand channels is also included here.</t>
  </si>
  <si>
    <t>This class also includes data broadcasting integrated with television broadcasting.</t>
  </si>
  <si>
    <t>This class excludes:
- the production of television programme elements (movies, documentaries, talk shows, commercials etc.) not associated with broadcasting, see 59.11
- the assembly of a package of channels and distribution of that package, without programming, see division 61</t>
  </si>
  <si>
    <t>Telecommunications</t>
  </si>
  <si>
    <t>This division includes the activities of providing telecommunications and related service activities, that is transmitting voice, data, text, sound and video. The transmission facilities that carry out these activities may be based on a single technology or a combination of technologies. The commonality of activities classified in this division is the transmission of content, without being involved in its creation. The breakdown in this division is based on the type of infrastructure operated.
In the case of transmission of television signals this may include the bundling of complete programming channels (produced in division 60) in to programme packages for distribution.</t>
  </si>
  <si>
    <t>Wired telecommunications activities</t>
  </si>
  <si>
    <t>This class includes:
- operating, maintaining or providing access to facilities for the transmission of voice, data, text, sound and video using a wired telecommunications infrastructure, including:
  . operating and maintaining switching and transmission facilities to provide point-to-point communications via landlines, microwave or a combination of landlines and satellite linkups
  . operating of cable distribution systems (e.g. for distribution of data and television signals)
  . furnishing telegraph and other non-vocal communications using own facilities
The transmission facilities that carry out these activities, may be based on a single technology or a combination of technologies.</t>
  </si>
  <si>
    <t>This class also includes:
- purchasing access and network capacity from owners and operators of networks and providing telecommunications services using this capacity to businesses and households
- provision of Internet access by the operator of the wired infrastructure</t>
  </si>
  <si>
    <t>This class excludes:
- telecommunications resellers, see 61.90</t>
  </si>
  <si>
    <t>Wireless telecommunications activities</t>
  </si>
  <si>
    <t>This class includes:
- operating, maintaining or providing access to facilities for the transmission of voice, data, text, sound, and video using a wireless telecommunications infrastructure
- maintaining and operating paging as well as cellular and other wireless telecommunications networks
The transmission facilities provide omni-directional transmission via airwaves and may be based on a single technology or a combination of technologies.</t>
  </si>
  <si>
    <t>This class also includes:
- purchasing access and network capacity from owners and operators of networks and providing wireless telecommunications services (except satellite) using this capacity to businesses and households
- provision of Internet access by the operator of the wireless infrastructure</t>
  </si>
  <si>
    <t>Satellite telecommunications activities</t>
  </si>
  <si>
    <t>This class includes:
- operating, maintaining or providing access to facilities for the transmission of voice, data, text, sound and video using a satellite telecommunications infrastructure
- delivery of visual, aural or textual programming received from cable networks, local television stations or radio networks to consumers via direct-to-home satellite systems. (The units classified here do not generally originate programming material.)</t>
  </si>
  <si>
    <t>This class also includes:
- provision of Internet access by the operator of the satellite infrastructure</t>
  </si>
  <si>
    <t>Other telecommunications activities</t>
  </si>
  <si>
    <t>This class includes:
- provision of specialised telecommunications applications, such as satellite tracking, communications telemetry, and radar station operations
- operation of satellite terminal stations and associated facilities operationally connected with one or more terrestrial communications systems and capable of transmitting telecommunications to or receiving telecommunications from satellite systems
- provision of Internet access over networks between the client and the ISP not owned or controlled by the ISP, such as dial-up Internet access etc.
- provision of telephone and Internet access in facilities open to the public
- provision of telecommunications services over existing telecom connections:
  . VOIP (Voice Over Internet Protocol) provision
- telecommunications resellers (i.e. purchasing and reselling network capacity without providing additional services)</t>
  </si>
  <si>
    <t>This class excludes:
- provision of Internet access by operators of telecommunications infrastructure, see 61.10, 61.20, 61.30</t>
  </si>
  <si>
    <t>Computer programming, consultancy and related activities</t>
  </si>
  <si>
    <t>This division includes the following activities of providing expertise in the field of information technologies: writing, modifying, testing and supporting software; planning and designing computer systems that integrate computer hardware, software and communication technologies; on-site management and operation of clients' computer systems and/or data processing facilities; and other professional and technical computer-related activities.</t>
  </si>
  <si>
    <t>Computer programming activities</t>
  </si>
  <si>
    <t>This class includes the writing, modifying, testing and supporting of software.
This class includes:
- designing the structure and content of, and/or writing the computer code necessary to create and implement:
  . systems software (including updates and patches)
  . software applications (including updates and patches)
  . databases
  . web pages
- customising of software, i.e. modifying and configuring an existing application so that it is functional within the clients' information system environment</t>
  </si>
  <si>
    <t>This class excludes:
- publishing packaged software, see 58.29
- translation or adaptation of non-customised software for a particular market on own account, see 58.29
- planning and designing computer systems that integrate computer hardware, software and communication technologies, even though providing software might be an integral part, see 62.02</t>
  </si>
  <si>
    <t>Computer consultancy activities</t>
  </si>
  <si>
    <t>This class includes the planning and designing of computer systems which integrate computer hardware, software and communication technologies. Services may include related users training.</t>
  </si>
  <si>
    <t>This class excludes:
- sale of computer hardware or software, see 46.51, 47.41
- installation of mainframe and similar computers, see 33.20
- installation (setting-up) of personal computers, see 62.09
- installation of software, computer disaster recovery, see 62.09</t>
  </si>
  <si>
    <t>Computer facilities management activities</t>
  </si>
  <si>
    <t>This class includes the provision of on-site management and operation of clients' computer systems and/or data processing facilities, as well as related support services.</t>
  </si>
  <si>
    <t>Other information technology and computer service activities</t>
  </si>
  <si>
    <t>This class includes other information technology and computer related activities not elsewhere classified, such as:
- computer disaster recovery services
- installation (setting-up) of personal computers
- software installation services</t>
  </si>
  <si>
    <t>This class excludes:
- installation of mainframe and similar computers, see 33.20
- computer programming, see 62.01
- computer consultancy, see 62.02
- computer facilities management, see 62.03
- data processing and hosting, see 63.11</t>
  </si>
  <si>
    <t>Information service activities</t>
  </si>
  <si>
    <t>This division includes the activities of web search portals, data processing and hosting activities, as well as other activities that primarily supply information.</t>
  </si>
  <si>
    <t>Data processing, hosting and related activities; web portals</t>
  </si>
  <si>
    <t>This group includes the provision of infrastructure for hosting, data processing services and related activities, as well as the provision of search facilities and other portals for the Internet.</t>
  </si>
  <si>
    <t>Data processing, hosting and related activities</t>
  </si>
  <si>
    <t>This class includes:
- provision of infrastructure for hosting, data processing services and related activities
- specialized hosting activities such as:
  . Web hosting
  . streaming services
  . application hosting
- application service provisioning
- general time-share provision of mainframe facilities to clients
- data processing activities:
  . complete processing of data supplied by clients
  . generation of specialized reports from data supplied by clients
- provision of data entry services</t>
  </si>
  <si>
    <t>This class excludes:
- activities where the supplier uses the computers only as a tool are classified according to the nature of the services rendered</t>
  </si>
  <si>
    <t>Web portals</t>
  </si>
  <si>
    <t>This class includes: 
- operation of web sites that use a search engine to generate and maintain extensive databases of Internet addresses and content in an easily searchable format
- operation of other websites that act as portals to the Internet, such as media sites providing periodically updated content</t>
  </si>
  <si>
    <t>This class excludes:
- publishing of books, newspapers, journals etc. via Internet, see division 58
- broadcasting via Internet, see division 60</t>
  </si>
  <si>
    <t>Other information service activities</t>
  </si>
  <si>
    <t>This group includes the activities of news agencies and all other remaining information service activities.</t>
  </si>
  <si>
    <t>This group excludes:
- activities of libraries and archives, see 91.01</t>
  </si>
  <si>
    <t>News agency activities</t>
  </si>
  <si>
    <t>This class includes:
- news syndicate and news agency activities furnishing news, pictures and features to the media</t>
  </si>
  <si>
    <t>This class excludes:
- activities of independent photojournalists, see 74.20
- activities of independent journalists, see 90.03</t>
  </si>
  <si>
    <t>Other information service activities n.e.c.</t>
  </si>
  <si>
    <t>This class includes other information service activities not elsewhere classified such as:
- computer-based telephone information services
- information search services on a contract or fee basis
- news clipping services, press clipping services, etc.</t>
  </si>
  <si>
    <t>This class excludes:
- activities of call centres, see 82.20</t>
  </si>
  <si>
    <t>K</t>
  </si>
  <si>
    <t>FINANCIAL AND INSURANCE ACTIVITIES</t>
  </si>
  <si>
    <t>This section includes financial service activities, including insurance, reinsurance and pension funding activities and activities to support financial services.</t>
  </si>
  <si>
    <t>This section also includes the activities of holding assets, such as activities of holding companies and the activities of trusts, funds and similar financial entities.</t>
  </si>
  <si>
    <t>Financial service activities, except insurance and pension funding</t>
  </si>
  <si>
    <t>This division includes the activities of obtaining and redistributing funds other than for the purpose of insurance or pension funding or compulsory social security.
Note: National institutional arrangements are likely to play a significant role in determining the classification within this division.</t>
  </si>
  <si>
    <t>Monetary intermediation</t>
  </si>
  <si>
    <t>This group includes the obtaining of funds in the form of transferable deposits, i.e. funds that are fixed in money terms, obtained on a day-to-day basis and, apart from central banking, obtained from non-financial sources.</t>
  </si>
  <si>
    <t>Central banking</t>
  </si>
  <si>
    <t>This class includes:
- issuing and managing the country's currency
- monitoring and control of the money supply
- taking deposits that are used for clearance between financial institutions
- supervising banking operations
- holding the country's international reserves
- acting as banker to the government
The activities of central banks will vary for institutional reasons.</t>
  </si>
  <si>
    <t>Other monetary intermediation</t>
  </si>
  <si>
    <t>This class includes the receiving of deposits and/or close substitutes for deposits and extending of credit or lending funds. The granting of credit can take a variety of forms, such as loans, mortgages, credit cards etc. These activities are generally carried out by monetary institutions other than central banks, such as:
- banks
- savings banks
- credit unions</t>
  </si>
  <si>
    <t>This class also includes:
- postal giro and postal savings bank activities
- credit granting for house purchase by specialised deposit-taking institutions
- money order activities</t>
  </si>
  <si>
    <t>This class excludes:
- credit granting for house purchase by specialised non-depository institutions, see 64.92
- credit card transaction processing and settlement activities, see 66.19</t>
  </si>
  <si>
    <t>Activities of holding companies</t>
  </si>
  <si>
    <t>This class includes the activities of holding companies, i.e. units that hold the assets (owning controlling-levels of equity) of a group of subsidiary corporations and whose principal activity is owning the group. The holding companies in this class do not provide any other service to the businesses in which the equity is held, i.e. they do not administer or manage other units.</t>
  </si>
  <si>
    <t>This class excludes:
- active management of companies and enterprises, strategic planning and decision making of the company, see 70.10</t>
  </si>
  <si>
    <t>Trusts, funds and similar financial entities</t>
  </si>
  <si>
    <t>This class includes legal entities organised to pool securities or other financial assets, without managing, on behalf of shareholders or beneficiaries. The portfolios are customised to achieve specific investment characteristics, such as diversification, risk, rate of return and price volatility. These entities earn interest, dividends and other property income, but have little or no employment and no revenue from the sale of services.
This class includes:
- open-end investment funds
- closed-end investment funds
- trusts, estates or agency accounts, administered on behalf of the beneficiaries under the terms of a trust agreement, will or agency agreement
- unit investment trust funds</t>
  </si>
  <si>
    <t>This class excludes:
- funds and trusts that earn revenue from the sale of goods or services, see NACE class according to their principal activity
- activities of holding companies, see 64.20
- pension funding, see 65.30
- management of funds, see 66.30</t>
  </si>
  <si>
    <t>Other financial service activities, except insurance and pension funding</t>
  </si>
  <si>
    <t>This group includes financial service activities other than those conducted by monetary institutions.</t>
  </si>
  <si>
    <t>This group excludes:
- insurance and pension funding, see division 65</t>
  </si>
  <si>
    <t>Financial leasing</t>
  </si>
  <si>
    <t>This class includes:
- leasing where the term approximately covers the expected life of the asset and the lessee acquires substantially all the benefits of its use and takes all the risks associated with its ownership. The ownership of the asset may or may not eventually be transferred. Such leases cover all or virtually all costs including interest.</t>
  </si>
  <si>
    <t>This class excludes:
- operational leasing, see division 77, according to type of goods leased</t>
  </si>
  <si>
    <t>Other credit granting</t>
  </si>
  <si>
    <t>This class includes:
- financial service activities primarily concerned with making loans by institutions not involved in monetary intermediation, where the granting of credit can take a variety of forms, such as loans, mortgages, credit cards etc., providing the following types of services:
  . granting of consumer credit
  . international trade financing
  . provision of long-term finance to industry by industrial banks
  . money lending outside the banking system
  . credit granting for house purchase by specialised non-depository institutions
  . pawnshops and pawnbrokers</t>
  </si>
  <si>
    <t>This class excludes:
- credit granting for house purchase by specialised institutions that also take deposits, see 64.19
- operational leasing, see division 77, according to type of goods leased
- grant giving activities by membership organisations, see 94.99</t>
  </si>
  <si>
    <t>Other financial service activities, except insurance and pension funding n.e.c.</t>
  </si>
  <si>
    <t>This class includes:
- other financial service activities primarily concerned with distributing funds other than by making loans:
  . factoring activities
  . writing of swaps, options and other hedging arrangements
  . activities of viatical settlement companies
- own-account investment activities, such as by venture capital companies, investment clubs etc.</t>
  </si>
  <si>
    <t>This class excludes:
- financial leasing, see 64.91
- security dealing on behalf of others, see 66.12
- trade, leasing and rental of real estate property, see division 68
- bill collection without debt buying up, see 82.91
- grant-giving activities by membership organisations, see 94.99</t>
  </si>
  <si>
    <t>Insurance, reinsurance and pension funding, except compulsory social security</t>
  </si>
  <si>
    <t>This division includes the underwriting annuities and insurance policies and investing premiums to build up a portfolio of financial assets to be used against future claims. Provision of direct insurance and reinsurance are included.</t>
  </si>
  <si>
    <t>Insurance</t>
  </si>
  <si>
    <t>This group includes life insurance with or without a substantial savings element and non-life insurance.</t>
  </si>
  <si>
    <t>Life insurance</t>
  </si>
  <si>
    <t>This class includes:
- underwriting annuities and life insurance policies, disability income insurance policies, and accidental death and dismemberment insurance policies (with or without a substantial savings element)</t>
  </si>
  <si>
    <t>Non-life insurance</t>
  </si>
  <si>
    <t>This class includes:
- provision of insurance services other than life insurance:
  . accident and fire insurance
  . health insurance
  . travel insurance
  . property insurance
  . motor, marine, aviation and transport insurance
  . pecuniary loss and liability insurance</t>
  </si>
  <si>
    <t>Reinsurance</t>
  </si>
  <si>
    <t>This class includes:
- activities of assuming all or part of the risk associated with existing insurance policies originally underwritten by other insurance carriers</t>
  </si>
  <si>
    <t>Pension funding</t>
  </si>
  <si>
    <t>This class includes legal entities (i.e. funds, plans and/or programmes) organised to provide retirement income benefits exclusively for the sponsor's employees or members. This includes pension plans with defined benefits, as well as individual plans where benefits are simply defined through the memberâ€™s contribution.
This class includes:
- employee benefit plans
- pension funds and plans
- retirement plans</t>
  </si>
  <si>
    <t>This class excludes:
- management of pension funds, see 66.30
- compulsory social security schemes, see 84.30</t>
  </si>
  <si>
    <t>Activities auxiliary to financial services and insurance activities</t>
  </si>
  <si>
    <t>This division includes the provision of services involved in or closely related to financial service activities, but not themselves providing financial services. The primary breakdown of this division is according to the type of financial transaction or funding served.</t>
  </si>
  <si>
    <t>Activities auxiliary to financial services, except insurance and pension funding</t>
  </si>
  <si>
    <t>This group includes the furnishing of physical or electronic marketplaces for the purpose of facilitating the buying and selling of stocks, stock options, bonds or commodity contracts.</t>
  </si>
  <si>
    <t>Administration of financial markets</t>
  </si>
  <si>
    <t>This class includes the operation and supervision of financial markets other than by public authorities, such as:
- commodity contracts exchanges
- futures commodity contracts exchanges
- securities exchanges
- stock exchanges
- stock or commodity options exchanges</t>
  </si>
  <si>
    <t>Security and commodity contracts brokerage</t>
  </si>
  <si>
    <t>This class includes:
- dealing in financial markets on behalf of others (e.g. stock broking) and related activities
- securities brokerage
- commodity contracts brokerage 
- activities of bureaux de change etc.</t>
  </si>
  <si>
    <t>This class excludes:
- dealing in markets on own account, see 64.99
- portfolio management, on a fee or contract basis, see 66.30</t>
  </si>
  <si>
    <t>Other activities auxiliary to financial services, except insurance and pension funding</t>
  </si>
  <si>
    <t>This class includes activities auxiliary to financial service activities not elsewhere classified, such as:
- financial transaction processing and settlement activities, including for credit card transactions
- investment advisory services 
- activities of mortgage advisers and brokers</t>
  </si>
  <si>
    <t>This class also includes:
- trustee, fiduciary and custody services on a fee or contract basis</t>
  </si>
  <si>
    <t>This class excludes:
- activities of insurance agents and brokers, see 66.22
- management of funds, see 66.30</t>
  </si>
  <si>
    <t>Activities auxiliary to insurance and pension funding</t>
  </si>
  <si>
    <t>This group includes acting as agents (i.e. brokers) in selling annuities and insurance policies or provide other employee benefits and insurance and pension related services such as claims adjustment and third party administration.</t>
  </si>
  <si>
    <t>Risk and damage evaluation</t>
  </si>
  <si>
    <t>This class includes the provision of administration services of insurance, such as assessing and settling insurance claims, such as:
- assessing insurance claims
  . claims adjusting
  . risk assessing
  . risk and damage evaluation
  . average and loss adjusting
- settling insurance claims</t>
  </si>
  <si>
    <t>This class excludes:
- appraisal of real estate, see 68.31
- appraisal for other purposes, see 74.90
- investigation activities, see 80.30</t>
  </si>
  <si>
    <t>Activities of insurance agents and brokers</t>
  </si>
  <si>
    <t>This class includes:
- activities of insurance agents and brokers (insurance intermediaries) in selling, negotiating or soliciting of annuities and insurance and reinsurance policies</t>
  </si>
  <si>
    <t>Other activities auxiliary to insurance and pension funding</t>
  </si>
  <si>
    <t>This class includes:
- activities involved in or closely related to insurance and pension funding (except financial intermediation, claims adjusting and activities of insurance agents):
  . salvage administration
  . actuarial services</t>
  </si>
  <si>
    <t>This class excludes:
- marine salvage activities, see 52.22</t>
  </si>
  <si>
    <t>Fund management activities</t>
  </si>
  <si>
    <t>This class includes portfolio and fund management activities on a fee or contract basis, for individuals, businesses and others, such as:
- management of mutual funds
- management of other investment funds
- management of pension funds</t>
  </si>
  <si>
    <t>L</t>
  </si>
  <si>
    <t>REAL ESTATE ACTIVITIES</t>
  </si>
  <si>
    <t>This section includes acting as lessors, agents and/or brokers in one or more of the following: selling or buying real estate, rental real estate, providing other real estate services such as appraising real estate or acting as real estate escrow agents. Activities in this section may be carried out on own or leased property and may be done on a fee or contract basis. 
This section includes real estate property managers.</t>
  </si>
  <si>
    <t>Also included is the building of structures, combined with maintaining ownership or leasing of such structures.</t>
  </si>
  <si>
    <t>Real estate activities</t>
  </si>
  <si>
    <t>Buying and selling of own real estate</t>
  </si>
  <si>
    <t>This class includes:
- buying and selling of self-owned real estate:
  . apartment buildings and dwellings
  . non-residential buildings, including exhibition halls, self-storage facilities, malls and shopping centres
  . land</t>
  </si>
  <si>
    <t>This class also includes
- subdividing real estate into lots, without land improvement</t>
  </si>
  <si>
    <t>This class excludes:
- development of building projects for sale, see 41.10
- subdividing and improving of land, see 42.99</t>
  </si>
  <si>
    <t>Rental and operating of own or leased real estate</t>
  </si>
  <si>
    <t>This class includes:
- rental and operating of self-owned or leased real estate:
  . apartment buildings and dwellings
  . non-residential buildings, including exhibition halls, self-storage facilities
  . land
- provision of homes and furnished or unfurnished flats or apartments for more permanent use, typically on a monthly or annual basis</t>
  </si>
  <si>
    <t>This class also includes:
- development of building projects for own operation
- operation of residential mobile home sites</t>
  </si>
  <si>
    <t>This class excludes:
- operation of hotels, suite hotels, holiday homes, rooming houses, campgrounds, trailer parks and other non-residential or short-stay accommodation places, see division 55</t>
  </si>
  <si>
    <t>Real estate activities on a fee or contract basis</t>
  </si>
  <si>
    <t>Real estate agencies</t>
  </si>
  <si>
    <t>This class includes the provision of real estate activities by real estate agencies:
- intermediation in buying, selling and rental of real estate on a fee or contract basis
- advisory activities and appraisal services in connection to buying, selling and rental of real estate, on a fee or contract basis
- real estate escrow agents activities</t>
  </si>
  <si>
    <t>This class excludes:
- legal activities, see 69.10</t>
  </si>
  <si>
    <t>Management of real estate on a fee or contract basis</t>
  </si>
  <si>
    <t>This class also includes:
- rent-collecting agencies</t>
  </si>
  <si>
    <t>This class excludes:
- legal activities, see 69.10
- facilities support services (combination of services such as general interior cleaning, maintenance and making minor repairs, trash disposal, guard and security), see 81.10
- management of facilities, such as military bases, prisons and other facilities (except computer facilities management), see 81.10</t>
  </si>
  <si>
    <t>M</t>
  </si>
  <si>
    <t>PROFESSIONAL, SCIENTIFIC AND TECHNICAL ACTIVITIES</t>
  </si>
  <si>
    <t>This section includes specialised professional, scientific and technical activities. These activities require a high degree of training, and make specialised knowledge and skills available to users.</t>
  </si>
  <si>
    <t>Legal and accounting activities</t>
  </si>
  <si>
    <t>This division includes legal representation of one party's interest against another party, whether or not before courts or other judicial bodies by, or under supervision of, persons who are members of the bar, such as advice and representation in civil cases, advice and representation in criminal actions, advice and representation in connection with labour disputes.</t>
  </si>
  <si>
    <t>It also includes preparation of legal documents such as articles of incorporation, partnership agreements or similar documents in connection with company formation, patents and copyrights, preparation of deeds, wills, trusts, etc. as well as other activities of notaries public, civil law notaries, bailiffs, arbitrators, examiners and referees.
It also includes accounting and bookkeeping services such as auditing of accounting records, preparing financial statements and bookkeeping.</t>
  </si>
  <si>
    <t>Legal activities</t>
  </si>
  <si>
    <t>This class includes:
- legal representation of one party's interest against another party, whether or not before courts or other judicial bodies by, or under supervision of, persons who are members of the bar:
  . advice and representation in civil cases
  . advice and representation in criminal cases
  . advice and representation in connection with labour disputes
- general counselling and advising, preparation of legal documents:
  . articles of incorporation, partnership agreements or similar documents in connection with company formation
  . patents and copyrights
  . preparation of deeds, wills, trusts etc.
- other activities of notaries public, civil law notaries, bailiffs, arbitrators, examiners and referees</t>
  </si>
  <si>
    <t>This class excludes:
- law court activities, see 84.23</t>
  </si>
  <si>
    <t>Accounting, bookkeeping and auditing activities; tax consultancy</t>
  </si>
  <si>
    <t>This class includes:
- recording of commercial transactions from businesses or others
- preparation or auditing of financial accounts
- examination of accounts and certification of their accuracy
- preparation of personal and business income tax returns
- advisory activities and representation on behalf of clients before tax authorities</t>
  </si>
  <si>
    <t>This class excludes:
- data-processing and tabulation activities, see 63.11
- management consultancy on accounting systems, budgetary control procedures, see 70.22
- bill collection, see 82.91</t>
  </si>
  <si>
    <t>Activities of head offices; management consultancy activities</t>
  </si>
  <si>
    <t>This division includes the provision of advice and assistance to businesses and other organisations on management issues, such as strategic and organisational planning; financial planning and budgeting; marketing objectives and policies; human resource policies, practices, and planning; production scheduling; and control planning.</t>
  </si>
  <si>
    <t>It also includes the overseeing and managing of other units of the same company or enterprise, i.e. the activities of head offices.</t>
  </si>
  <si>
    <t>Activities of head offices</t>
  </si>
  <si>
    <t>This class includes the overseeing and managing of other units of the company or enterprise; undertaking the strategic or organisational planning and decision making role of the company or enterprise; exercising operational control and managing the day-to-day operations of their related units.
This class includes activities of:
- head offices
- centralised administrative offices
- corporate offices
- district and regional offices
- subsidiary management offices</t>
  </si>
  <si>
    <t>This class excludes:
- activities of holding companies, not engaged in managing, see 64.20</t>
  </si>
  <si>
    <t>Management consultancy activities</t>
  </si>
  <si>
    <t>Public relations and communication activities</t>
  </si>
  <si>
    <t>This class includes the provision of advice, guidance and operational assistance, including lobbying activities, to businesses and other organisations on public relations and communication.</t>
  </si>
  <si>
    <t>This class excludes:
- advertising agencies and media representation services, see 73.1
- market research and public opinion polling, see 73.20</t>
  </si>
  <si>
    <t>Business and other management consultancy activities</t>
  </si>
  <si>
    <t>This class includes the provision of advice, guidance and operational assistance to businesses and other organisations on management issues, such as corporate strategic and organisational planning, business process reengineering, change management, cost reduction and other financial issues; marketing objectives and policies; human resource policies, practices and planning; compensation and retirement strategies; production scheduling and control planning.
This provision of business services may include advice, guidance or operational assistance to businesses and the public service regarding:
- design of accounting methods or procedures, cost accounting programmes, budgetary control procedures
- advice and help to businesses and public services in planning, organisation, efficiency and control, management information etc.</t>
  </si>
  <si>
    <t>This class excludes:
- design of computer software for accounting systems, see 62.01
- legal advice and representation, see 69.10
- accounting, bookkeeping and auditing activities, tax consulting, see 69.20
- architectural and engineering advisory activities, see 71.11, 71.12
- environmental, agronomy, security and similar consulting activities, see 74.90
- executive placement or search consulting activities, see 78.10
- educational consulting activities, see 85.60</t>
  </si>
  <si>
    <t>Architectural and engineering activities; technical testing and analysis</t>
  </si>
  <si>
    <t>This division includes the provision of architectural services, engineering services, drafting services, building inspection services and surveying and mapping services.</t>
  </si>
  <si>
    <t>It also includes the performance of physical, chemical, and other analytical testing services.</t>
  </si>
  <si>
    <t>Architectural and engineering activities and related technical consultancy</t>
  </si>
  <si>
    <t>This group includes the provision of architectural services, engineering services, drafting services, building inspection services and surveying and mapping services and the like.</t>
  </si>
  <si>
    <t xml:space="preserve">Architectural activities </t>
  </si>
  <si>
    <t>This class includes:
- architectural consulting activities:
  . building design and drafting
  . town and city planning and landscape architecture</t>
  </si>
  <si>
    <t>This class excludes:
- activities of computer consultants, see 62.02, 62.09
- interior decorating, see 74.10</t>
  </si>
  <si>
    <t>Engineering activities and related technical consultancy</t>
  </si>
  <si>
    <t>This class includes:
- engineering design (i.e. applying physical laws and principles of engineering in the design of machines, materials, instruments, structures, processes and systems) and consulting activities for:
  . machinery, industrial processes and industrial plant
  . projects involving civil engineering, hydraulic engineering, traffic engineering
  . water management projects
  . projects elaboration and realisation relative to electrical and electronic engineering, mining engineering, chemical engineering, mechanical, industrial and systems engineering, safety engineering
- elaboration of projects using air conditioning, refrigeration, sanitary and pollution control engineering, acoustical engineering etc.
- geophysical, geologic and seismic surveying
- geodetic surveying activities:
  . land and boundary surveying activities
  . hydrologic surveying activities
  . subsurface surveying activities
  . cartographic and spatial information activities</t>
  </si>
  <si>
    <t>This class excludes:
- test drilling in connection with mining operations, see 09.10, 09.90
- development or publishing of associated software, see 58.29, 62.01
- activities of computer consultants, see 62.02, 62.09
- technical testing, see 71.20
- research and development activities related to engineering, see 72.19
- industrial design, see 74.10
- aerial photography, see 74.20</t>
  </si>
  <si>
    <t>Technical testing and analysis</t>
  </si>
  <si>
    <t>This class includes the performance of physical, chemical and other analytical testing of all types of materials and products, such as:
  . acoustics and vibration testing
  . testing of composition and purity of minerals etc.
  . testing activities in the field of food hygiene, including veterinary testing and control in relation to food production
  . testing of physical characteristics and performance of materials, such as strength, thickness, durability, radioactivity etc.
  . qualification and reliability testing
  . performance testing of complete machinery: motors, automobiles, electronic equipment etc.
  . radiographic testing of welds and joints
  . failure analysis
  . testing and measuring of environmental indicators: air and water pollution etc.
- certification of products, including consumer goods, motor vehicles, aircraft, pressurised containers, nuclear plants etc.
- periodic road-safety testing of motor vehicles
- testing with use of models or mock-ups (e.g. of aircraft, ships, dams etc.)
- operation of police laboratories</t>
  </si>
  <si>
    <t>This class excludes:
- testing of animal specimens, see 75.00
- diagnostic imaging, testing and analysis of medical and dental specimens, see 86</t>
  </si>
  <si>
    <t xml:space="preserve">Scientific research and development </t>
  </si>
  <si>
    <t>This division includes the activities of three types of research and development: 1) basic research: experimental or theoretical work undertaken primarily to acquire new knowledge of the underlying foundations of phenomena and observable facts, without particular application or use in view, 2) applied research: original investigation undertaken in order to acquire new knowledge, directed primarily towards a specific practical aim or objective and 3) experimental development: systematic work, drawing on existing knowledge gained from research and/or practical experience, directed to producing new materials, products and devices, to installing new processes, systems and services, and to improving substantially those already produced or installed.
Research and experimental development activities in this division are subdivided into two categories: natural sciences and engineering; social sciences and the humanities.</t>
  </si>
  <si>
    <t>This division excludes:
- market research, see 73.20</t>
  </si>
  <si>
    <t>Research and experimental development on natural sciences and engineering</t>
  </si>
  <si>
    <t>This group comprises basic research, applied research, experimental development in natural sciences and engineering.</t>
  </si>
  <si>
    <t>Research and experimental development on biotechnology</t>
  </si>
  <si>
    <t>This class includes research and experimental development on biotechnology:
- DNA/RNA: genomics, pharmacogenomics, gene probes, genetic engineering, DNA/RNA sequencing/synthesis/amplification, gene expression profiling, and use of antisense technology
- proteins and other molecules: sequencing/synthesis/engineering of proteins and peptides (including large molecule hormones); improved delivery methods for large molecule drugs; proteomics, protein isolation and purification, signalling, identification of cell receptors
- cell and tissue culture and engineering: cell/tissue culture, tissue engineering (including tissue scaffolds and biomedical engineering), cellular fusion, vaccine/immune stimulants, embryo manipulation
- process biotechnology techniques: fermentation using bioreactors, bioprocessing, bioleaching, biopulping, biobleaching, biodesulphurisation, bioremediation, biofiltration and phytoremediation
- gene and RNA vectors: gene therapy, viral vectors
- bioinformatics: construction of databases on genomes, protein sequences; modelling complex biological processes, including systems biology
- nanobiotechnology: applies the tools and processes of nano/microfabrication to build devices for studying biosystems and applications in drug delivery, diagnostics etc.</t>
  </si>
  <si>
    <t>Other research and experimental development on natural sciences and engineering</t>
  </si>
  <si>
    <t>This class includes:
- research and experimental development on natural science and engineering other than biotechnological research and experimental development:
  . research and development on natural sciences
  . research and development on engineering and technology
  . research and development on medical sciences
  . research and development on agricultural sciences
  . interdisciplinary research and development, predominantly on natural sciences and engineering</t>
  </si>
  <si>
    <t>Research and experimental development on social sciences and humanities</t>
  </si>
  <si>
    <t>This class includes:
- research and development on social sciences
- research and development on humanities
- interdisciplinary research and development, predominantly on social sciences and humanities</t>
  </si>
  <si>
    <t>This class excludes:
- market research, see 73.20</t>
  </si>
  <si>
    <t>Advertising and market research</t>
  </si>
  <si>
    <t>This division includes the creation of advertising campaigns and placement of such advertising in periodicals, newspapers, radio and television, or other media as well as the design of display structures and sites.</t>
  </si>
  <si>
    <t>Advertising</t>
  </si>
  <si>
    <t>Advertising agencies</t>
  </si>
  <si>
    <t>This class includes the provision of a full range of advertising services (i.e., through in-house capabilities or subcontracting), including advice, creative services, production of advertising material, and buying. 
It includes:
- creation and realisation of advertising campaigns:
  . creating and placing advertising in newspapers, periodicals, radio, television, the Internet and other media
  . creating and placing of outdoor advertising, e.g. billboards, panels, bulletins and frames, window dressing, showroom design, car and bus carding etc.
  . aerial advertising
  . distribution or delivery of advertising material or samples
  . creation of stands and other display structures and sites
- conducting marketing campaigns and other advertising services aimed at attracting and retaining customers
  . promotion of products
  . point-of-sale marketing
  . direct mail advertising
  . marketing consulting</t>
  </si>
  <si>
    <t>This class excludes:
- publishing of advertising material, see 58.19
- production of commercial messages television and film, see 59.11
- production of commercial messages for radio, see 59.20
- market research, see 73.20
- advertising photography, see 74.20
- convention and trade show organisers, see 82.30
- mailing activities, see 82.19</t>
  </si>
  <si>
    <t>Media representation</t>
  </si>
  <si>
    <t>This class includes
- media representation, i.e. sale or re-sale of time and space for various media soliciting advertising</t>
  </si>
  <si>
    <t>This class excludes:
- sale of advertising time or space directly by owners of the time or space (publishers etc.), see the corresponding activity class 
- public-relations activities, see 70.21</t>
  </si>
  <si>
    <t>Market research and public opinion polling</t>
  </si>
  <si>
    <t>This class includes:
- investigation into market potential, awareness, acceptance and familiarity of goods and services and buying habits of consumers for the purpose of sales promotion and development of new goods and services, including statistical analyses of the results
- investigation into collective opinions of the public about political, economic and social issues and statistical analysis thereof</t>
  </si>
  <si>
    <t>Other professional, scientific and technical activities</t>
  </si>
  <si>
    <t>This division includes the provision of professional scientific and technical services (except legal and accounting activities; architecture and engineering activities; technical testing and analysis; management and management consultancy activities; research and development and advertising activities).</t>
  </si>
  <si>
    <t>Specialised design activities</t>
  </si>
  <si>
    <t>This class includes:
- fashion design related to textiles, wearing apparel, shoes, jewellery, furniture and other interior decoration and other fashion goods as well as other personal or household goods
- industrial design, i.e. creating and developing designs and specifications that optimise the use, value and appearance of products, including the determination of the materials, mechanism, shape, colour and surface finishes of the product, taking into consideration human characteristics and needs, safety, market appeal in distribution, use and maintenance
- activities of graphic designers
- activities of interior decorators</t>
  </si>
  <si>
    <t>This class excludes:
- design and programming of web pages, see 62.01
- architectural design, see 71.11
- engineering design, i.e. applying physical laws and principles of engineering in the design of machines, materials, instruments, structures, processes and systems, see 71.12</t>
  </si>
  <si>
    <t>Photographic activities</t>
  </si>
  <si>
    <t>This class includes:
- commercial and consumer photograph production:
  . portrait photography for passports, schools, weddings etc.
  . photography for commercials, publishers, fashion, real estate or tourism purposes
  . aerial photography 
  . videotaping of events: weddings, meetings etc.
- film processing:
  . developing, printing and enlarging from client-taken negatives or cine-films
  . film developing and photo printing laboratories 
  . one hour photo shops (not part of camera stores)
  . mounting of slides
  . copying and restoring or transparency retouching in connection with photographs
- activities of photojournalists</t>
  </si>
  <si>
    <t>This class also includes:
- microfilming of documents</t>
  </si>
  <si>
    <t>- Transferring content from video tapes (and similar media) to other media
- Object scanning in 3D</t>
  </si>
  <si>
    <t>This class excludes:
- processing motion picture film related to the motion picture and television industries, see 59.12
- cartographic and spatial information activities, see 71.12
- operation of coin-operated (self-service) photo machines, see 96.09</t>
  </si>
  <si>
    <t>Translation and interpretation activities</t>
  </si>
  <si>
    <t>Other professional, scientific and technical activities n.e.c.</t>
  </si>
  <si>
    <t>This class includes a great variety of service activities generally delivered to commercial clients. It includes those activities for which more advanced professional, scientific and technical skill levels are required, but does not include ongoing, routine business functions that are generally of short duration.
This class includes:
- business brokerage activities, i.e. arranging for the purchase and sale of small and medium-sized businesses, including professional practices, but not including real estate brokerage
- patent brokerage activities (arranging for the purchase and sale of patents)
- appraisal activities other than for real estate and insurance (for antiques, jewellery, etc.)
- bill auditing and freight rate information
- weather forecasting activities
- security consulting
- agronomy consulting
- environmental consulting
- other technical consulting
- activities of consultants other than architecture, engineering and management consultants
- activities of quantity surveyors</t>
  </si>
  <si>
    <t>This class also includes:
- activities carried out by agents and agencies on behalf of individuals usually involving the obtaining of engagements in motion picture, theatrical production or other entertainment or sports attractions and the placement of books, plays, artworks, photographs etc., with publishers, producers etc.</t>
  </si>
  <si>
    <t>This class excludes:
- wholesale of used motor vehicles by auctioning, see 45.1
- online auction activities (retail), see 47.91
- activities of auctioning houses (retail), see 47.79
- activities of real estate brokers, see 68.31
- bookkeeping activities, see 69.20
- activities of management consultants, see 70.22
- activities of architecture and engineering consultants, see 71.1
- industrial and machinery design, see 71.12, 74.10
- veterinary testing and control in relation to food production, see 71.20
- display of advertisement and other advertising design, see 73.11
- creation of stands and other display structures and sites, see 73.11
- activities of convention and trade show organisers, see 82.30
- activities of independent auctioneers, see 82.99
- administration of loyalty programmes, see 82.99
- consumer credit and debt counselling, see 88.99</t>
  </si>
  <si>
    <t>Veterinary activities</t>
  </si>
  <si>
    <t>This division includes the provision of animal health care and control activities for farm animals or pet animals. These activities are carried out by qualified veterinarians in veterinary hospitals as well as when visiting farms, kennels or homes, in own consulting and surgery rooms or elsewhere.</t>
  </si>
  <si>
    <t>It also includes animal ambulance activities.</t>
  </si>
  <si>
    <t>This class includes:
- animal health care and control activities for farm animals
- animal health care and control activities for pet animals
These activities are carried out by qualified veterinarians when working in veterinary hospitals as well as when visiting farms, kennels or homes, in own consulting and surgery rooms or elsewhere.</t>
  </si>
  <si>
    <t>This class also includes:
- activities of veterinary assistants or other auxiliary veterinary personnel
- clinico-pathological and other diagnostic activities pertaining to animals
- animal ambulance activities</t>
  </si>
  <si>
    <t>This class excludes:
- farm animal boarding activities without health care, see 01.62
- sheep shearing, see 01.62
- herd testing services, droving services, agistment services, poultry caponising, see 01.62
- activities related to artificial insemination, see 01.62
- pet animal boarding activities without health care, see 96.09</t>
  </si>
  <si>
    <t>N</t>
  </si>
  <si>
    <t>ADMINISTRATIVE AND SUPPORT SERVICE ACTIVITIES</t>
  </si>
  <si>
    <t>This section includes a variety of activities that support general business operations. These activities differ from those in section M, since their primary purpose is not the transfer of specialised knowledge.</t>
  </si>
  <si>
    <t>Rental and leasing activities</t>
  </si>
  <si>
    <t>This division includes the rental and leasing of tangible and non-financial intangible assets, including a wide array of tangible goods, such as automobiles, computers, consumer goods, and industrial machinery and equipment, to customers in return for a periodic rental or lease payment. It is subdivided into: (1) the rental of motor vehicles, (2) the rental of recreational and sports equipment and personal and household equipment, (3) the leasing of other machinery and equipment of the kind often used for business operations, including other transport equipment and (4) the leasing of intellectual property products and similar products. 
Only the provision of operating leases is included in this division.</t>
  </si>
  <si>
    <t>This division excludes:
- financial leasing, see 64.91
- rental of real estate, see section L
- rental of equipment with operator, see corresponding classes according to activities carried out with this equipment, e.g. construction (section F), transportation (section H)</t>
  </si>
  <si>
    <t>Rental and leasing of motor vehicles</t>
  </si>
  <si>
    <t>Rental and leasing of cars and light motor vehicles</t>
  </si>
  <si>
    <t>This class includes:
- rental and operational leasing of the following types of vehicles:
  . passenger cars and other light motor vehicles (with a weight not exceeding 3,5 tons) without driver</t>
  </si>
  <si>
    <t>This class excludes:
- rental or leasing of cars or light motor vehicles with driver, see 49.32, 49.39</t>
  </si>
  <si>
    <t>Rental and leasing of trucks</t>
  </si>
  <si>
    <t>This class includes:
- rental and operational leasing of the following types of vehicles:
  . trucks, utility trailers and heavy motor vehicles (with a weight exceeding 3,5 tons)
  . recreational vehicles</t>
  </si>
  <si>
    <t>This class excludes:
- rental or leasing of heavy goods vehicles or trucks with driver, see 49.41</t>
  </si>
  <si>
    <t>Rental and leasing of personal and household goods</t>
  </si>
  <si>
    <t>This group includes the rental of personal and household goods as well as rental of recreational and sports equipment and video tapes. Activities generally include short-term rental of goods although in some instances, the goods may be leased for longer periods of time.</t>
  </si>
  <si>
    <t>Rental and leasing of recreational and sports goods</t>
  </si>
  <si>
    <t>This class includes rental of recreational and sports equipment:
- pleasure boats, canoes, sailboats
- bicycles
- beach chairs and umbrellas
- other sports equipment
- skis</t>
  </si>
  <si>
    <t>This class excludes:
- rental of pleasure boats and sailing boats with crew, see 50.10, 50.30
- rental of video tapes and disks, see 77.22
- rental of other personal and household goods n.e.c., see 77.29
- rental of leisure and pleasure equipment as an integral part of recreational facilities, see 93.29</t>
  </si>
  <si>
    <t>Rental of video tapes and disks</t>
  </si>
  <si>
    <t>This class includes:
- rental of video tapes, records, CDs, DVDs etc.</t>
  </si>
  <si>
    <t>Rental and leasing of other personal and household goods</t>
  </si>
  <si>
    <t>This class includes:
- rental of all kinds of household or personal goods, to households or industries (except recreational and sports equipment):
  . textiles, wearing apparel and footwear
  . furniture, pottery and glass, kitchen and tableware, electrical appliances and house wares
  . jewellery, musical instruments, scenery and costumes
  . books, journals and magazines
  . machinery and equipment used by amateurs or as a hobby e.g. tools for home repairs
  . flowers and plants
  . electronic equipment for household use</t>
  </si>
  <si>
    <t>This class excludes:
- rental of cars, trucks, trailers and recreational vehicles without driver, see 77.1
- rental of recreational and sports goods, see 77.21
- rental of video tapes and disks, see 77.22
- rental of office furniture, see 77.33
- rental of motorcycles and caravans without driver, see 77.39
- provision of linen, work uniforms and related items by laundries, see 96.01</t>
  </si>
  <si>
    <t>Rental and leasing of other machinery, equipment and tangible goods</t>
  </si>
  <si>
    <t>Rental and leasing of agricultural machinery and equipment</t>
  </si>
  <si>
    <t>This class includes:
- rental and operational leasing of agricultural and forestry machinery and equipment without operator:
  . rental of products produced by class 28.30, such as agricultural tractors etc.</t>
  </si>
  <si>
    <t>This class excludes:
- rental of agricultural and forestry machinery or equipment with operator, see 01.61, 02.40</t>
  </si>
  <si>
    <t>Rental and leasing of construction and civil engineering machinery and equipment</t>
  </si>
  <si>
    <t>This class includes:
- rental and operational leasing of construction and civil engineering machinery and equipment without operator:
  . crane lorries
  . scaffolds and work platforms, without erection and dismantling</t>
  </si>
  <si>
    <t>This class excludes:
- rental of construction and civil engineering machinery or equipment with operator, see division 43</t>
  </si>
  <si>
    <t>Rental and leasing of office machinery and equipment (including computers)</t>
  </si>
  <si>
    <t>This class includes:
- rental and operational leasing of office machinery and equipment without operator:
  . computers and computer peripheral equipment
  . duplicating machines, typewriters and word-processing machines
  . accounting machinery and equipment: cash registers, electronic calculators etc.
  . office furniture</t>
  </si>
  <si>
    <t>Rental and leasing of water transport equipment</t>
  </si>
  <si>
    <t>This class includes:
- rental and operational leasing of water-transport equipment without operator: 
  . commercial boats and ships</t>
  </si>
  <si>
    <t>This class excludes:
- rental of water-transport equipment with operator, see division 50
- rental of pleasure boats, see 77.21</t>
  </si>
  <si>
    <t>Rental and leasing of air transport equipment</t>
  </si>
  <si>
    <t>This class includes:
- rental and operational leasing of air transport equipment without operator:
  . airplanes
  . hot-air balloons</t>
  </si>
  <si>
    <t>This class excludes:
- rental of air-transport equipment with operator, see division 51</t>
  </si>
  <si>
    <t>Rental and leasing of other machinery, equipment and tangible goods n.e.c.</t>
  </si>
  <si>
    <t>This class includes:
- rental and operational leasing, without operator, of other machinery and equipment that are generally used as capital goods by industries:
  . engines and turbines
  . machine tools
  . mining and oilfield equipment
  . professional radio, television and communication equipment
  . motion picture production equipment
  . measuring and controlling equipment
  . other scientific, commercial and industrial machinery
- rental and operational leasing of land-transport equipment (other than motor vehicles) without drivers:
  . motorcycles, caravans and campers etc.
  . railroad vehicles</t>
  </si>
  <si>
    <t>This class also includes:
- rental of accommodation or office containers
- rental of animals (e.g. herds, race horses)
- rental of containers
- rental of pallets</t>
  </si>
  <si>
    <t>This class excludes:
- rental of bicycles, see 77.21
- rental of agricultural and forestry machinery and equipment, see 77.31
- rental of construction and civil engineering machinery and equipment, see 77.32
- rental of office machinery and equipment, including computers, see 77.33</t>
  </si>
  <si>
    <t>Leasing of intellectual property and similar products, except copyrighted works</t>
  </si>
  <si>
    <t>This class includes the activities of allowing others to use intellectual property products and similar products for which a royalty payment or licensing fee is paid to the owner of the product (i.e. the asset holder). The leasing of these products can take various forms, such as permission for reproduction, use in subsequent processes or products, operating businesses under a franchise etc. The current owners may or may not have created these products.
This class includes:
- leasing of intellectual property products (except copyrighted works, such as books or software)
- receiving royalties or licensing fees for the use of:
  . patented entities
  . trademarks or service marks
  . brand names
  . mineral exploration and evaluation
  . franchise agreements</t>
  </si>
  <si>
    <t>This class excludes:
- acquisition of rights and publishing, see divisions 58 and 59
- producing, reproducing and distributing copyrighted works (books, software, film), see divisions 58, 59
- leasing of real estate, see 68.20
- leasing of tangible products (assets), see groups 77.1, 77.2, 77.3</t>
  </si>
  <si>
    <t>Employment activities</t>
  </si>
  <si>
    <t>This division includes activities of listing employment vacancies and referring or placing applicants for employment, where the individuals referred or placed are not employees of the employment agencies, supplying workers to clients' businesses for limited periods of time to supplement the working force of the client, and the activities of providing other human resources.
This division includes:
- executive search and placement activities
- activities of theatrical casting agencies</t>
  </si>
  <si>
    <t>This division excludes:
- activities of agents for individual artists, see 74.90</t>
  </si>
  <si>
    <t>Activities of employment placement agencies</t>
  </si>
  <si>
    <t>This class includes listing employment vacancies and referring or placing applicants for employment, where the individuals referred or placed are not employees of the employment agencies.
This class includes:
- personnel search, selection referral and placement activities, including executive placement and search activities
- activities of casting agencies and bureaus, such as theatrical casting agencies
- activities of on-line employment placement agencies</t>
  </si>
  <si>
    <t>This class excludes:
- activities of personal theatrical or artistic agents or agencies, see 74.90</t>
  </si>
  <si>
    <t>Temporary employment agency activities</t>
  </si>
  <si>
    <t>This class includes the activities of supplying workers to clients' businesses for limited periods of time to temporarily replace or supplement the working force of the client, where the individuals provided are employees of the temporary help service unit. However, units classified here do not provide direct supervision of their employees at the clients' work sites.</t>
  </si>
  <si>
    <t>Other human resources provision</t>
  </si>
  <si>
    <t>This class includes the activities of providing human resources for client businesses. The units classified here represent the employer of record for the employees on matters relating to payroll, taxes, and other fiscal and human resource issues, but they are not responsible for direction and supervision of employees.
The provision of human resources is typically done on a long-term or permanent basis and the units classified here perform a wide range of human resource and personnel management duties associated with this provision.</t>
  </si>
  <si>
    <t>This class excludes:
- provision of human resources functions together with supervision or running of the business, see the class in the respective economic activity of that business
- provision of human resources to temporarily replace or supplement the workforce of the client, see 78.20</t>
  </si>
  <si>
    <t>Travel agency, tour operator and other reservation service and related activities</t>
  </si>
  <si>
    <t>This division includes the activity of agencies, primarily engaged in selling travel, tour, transportation and accommodation services to the general public and commercial clients and the activity of arranging and assembling tours that are sold through travel agencies or directly by agents such as tour operators; and other travel-related services including reservation services.</t>
  </si>
  <si>
    <t>The activities of tourist guides and tourism promotion activities are also included.</t>
  </si>
  <si>
    <t>Travel agency and tour operator activities</t>
  </si>
  <si>
    <t>This group includes the activities of agencies, primarily engaged in selling travel, tour, transportation and accommodation services to the general public and commercial clients and the activity of arranging and assembling tours that are sold through travel agencies or directly by agents such as tour operators.</t>
  </si>
  <si>
    <t>Travel agency activities</t>
  </si>
  <si>
    <t>This class includes:
- activities of agencies, primarily engaged in selling travel, tour, transportation and accommodation services on a wholesale or retail basis to the general public and commercial clients</t>
  </si>
  <si>
    <t>Tour operator activities</t>
  </si>
  <si>
    <t>This class includes:
- arranging and assembling tours that are sold through travel agencies or directly by tour operators. The tours may include any or all of the following:
  . transportation
  . accommodation
  . food
  . visits to museums, historical or cultural sites, theatrical, musical or sporting events</t>
  </si>
  <si>
    <t>Other reservation service and related activities</t>
  </si>
  <si>
    <t>This class includes:
- other travel-related reservation services:
  . reservations for transportation, hotels, restaurants, car rentals, entertainment and sport etc.
- time-share exchange services
- ticket sales activities for theatrical, sports and other amusement and entertainment events
- visitor assistance services:
  . provision of travel information to visitors
  . activities of tourist guides
- tourism promotion activities</t>
  </si>
  <si>
    <t>This class excludes:
- the activities of travel agencies and tour operators, see 79.11, 79.12
- organisation and management of events such as meetings, conventions and conferences, see 82.30</t>
  </si>
  <si>
    <t>Security and investigation activities</t>
  </si>
  <si>
    <t>This division includes security-related services such as: investigation and detective services; guard and patrol services; picking up and delivering money, receipts, or other valuable items with personnel and equipment to protect such properties while in transit; operation of electronic security alarm systems, such as burglar and fire alarms, where the activity focuses on remote monitoring these systems, but often involves also sale, installation and repair services. If the latter components are provided separate, they are excluded from this division and classified in retail sale, construction etc.</t>
  </si>
  <si>
    <t>Private security activities</t>
  </si>
  <si>
    <t>This class includes the provision of one or more of the following: guard and patrol services, picking up and delivering money, receipts, or other valuable items with personnel and equipment to protect such properties while in transit.
This class includes:
- armoured car services
- bodyguard services
- polygraph services
- fingerprinting services
- security guard services
- security shredding of information on any media</t>
  </si>
  <si>
    <t>This class excludes:
- public order and safety activities, see 84.24</t>
  </si>
  <si>
    <t>Security systems service activities</t>
  </si>
  <si>
    <t>This class includes:
- monitoring or remote monitoring of electronic security alarm systems, such as burglar and fire alarms, including their installation and maintenance
- installing, repairing, rebuilding, and adjusting mechanical or electronic locking devices, safes and security vaults in connection with later monitoring and remote monitoring
The units carrying out these activities may also engage in selling such security systems, mechanical or electronic locking devices, safes and security vaults.</t>
  </si>
  <si>
    <t>This class excludes:
- installation of security systems, such as burglar and fire alarms, without later monitoring, see 43.21
- retail sale of electrical security alarm systems, mechanical or electronic locking devices, safes and security vaults in specialised stores, without monitoring, installation or maintenance services, see 47.59
- security consultants, see 74.90
- public order and safety activities, see 84.24
- providing key duplication services, see 95.29</t>
  </si>
  <si>
    <t>Investigation activities</t>
  </si>
  <si>
    <t>This class includes:
- investigation and detective service activities
- activities of all private investigators, independent of the type of client or purpose of investigation</t>
  </si>
  <si>
    <t>Services to buildings and landscape activities</t>
  </si>
  <si>
    <t>This division includes the provision of a number of general support services, such as the provision of a combination of support services within a client's facilities, the interior and exterior cleaning of buildings of all types, cleaning of industrial machinery, cleaning of trains, buses, planes, etc., cleaning of the inside of road and sea tankers, disinfecting and exterminating activities for buildings, ships, trains, etc., bottle cleaning, street sweeping, snow and ice removal, provision of landscape care and maintenance services and provision of these services along with the design of landscape plans and/or the construction (i.e. installation) of walkways, retaining walls, decks, fences, ponds, and similar structures.</t>
  </si>
  <si>
    <t>Combined facilities support activities</t>
  </si>
  <si>
    <t>This class includes the provision of a combination of support services within a client's facilities. These services include general interior cleaning, maintenance, trash disposal, guard and security, mail routing, reception, laundry and related services to support operations within facilities. These support activities are performed by operating staff, which is not involved with or responsible for the core business or activities of the client.</t>
  </si>
  <si>
    <t>This class excludes:
- provision of only one of the support services (e.g. general interior cleaning services) or addressing only a single function (e.g. heating), see the appropriate class according to the service provided
- provision of management and operating staff for the complete operation of a client's establishment, such as a hotel, restaurant, mine, or hospital, see the class of the unit operated
- provision of on site management and operation of a client's computer systems and/or data processing facilities, see 62.03
- operation of correctional facilities on a contract or fee basis, see 84.23</t>
  </si>
  <si>
    <t>Cleaning activities</t>
  </si>
  <si>
    <t>This group includes the activities of general interior cleaning of all types of buildings, exterior cleaning of buildings, specialised cleaning activities for buildings or other specialised cleaning activities, cleaning of industrial machinery, cleaning of the inside of road and sea tankers, disinfecting and extermination activities for buildings and industrial machinery, bottle cleaning, street sweeping, snow and ice removal.</t>
  </si>
  <si>
    <t>This group excludes:
- agricultural pest control, see 01.61
- cleaning of new buildings immediately after construction, 43.39
- steam-cleaning, sand blasting and similar activities for building exteriors, see 43.99
- carpet and rug shampooing, drapery and curtain cleaning, see 96.01</t>
  </si>
  <si>
    <t>General cleaning of buildings</t>
  </si>
  <si>
    <t>This class includes:
- general (non-specialized) cleaning of all types of buildings, such as:
  . offices 
  . houses or apartments
  . factories 
  . shops 
  . institutions
- general (non-specialized) cleaning of other business and professional premises and multiunit residential buildings
These activities are mostly interior cleaning although they may include the cleaning of associated exterior areas such as windows or passageways.</t>
  </si>
  <si>
    <t>This class excludes:
- specialised cleaning activities, such as window cleaning, chimney cleaning, cleaning of fireplaces, stoves, furnaces, incinerators, boilers, ventilation ducts, exhaust units, see 81.22</t>
  </si>
  <si>
    <t>Other building and industrial cleaning activities</t>
  </si>
  <si>
    <t>This class includes:
- exterior cleaning of buildings of all types, including offices, factories, shops, institutions and other business and professional premises and multiunit residential buildings
- specialised cleaning activities for buildings such as window cleaning, chimney cleaning and cleaning of fireplaces, stoves, furnaces, incinerators, boilers, ventilation ducts and exhaust units
- cleaning of industrial machinery
- other building and industrial cleaning activities, n.e.c.</t>
  </si>
  <si>
    <t>This class excludes:
- steam cleaning and blasting and similar activities for building exteriors, see 43.99</t>
  </si>
  <si>
    <t>Other cleaning activities</t>
  </si>
  <si>
    <t>This class includes:
- swimming pool cleaning and maintenance activities
- cleaning of trains, buses, planes, etc.
- cleaning of the inside of road and sea tankers 
- disinfecting and exterminating activities
- bottle cleaning
- street sweeping and snow and ice removal
- other cleaning activities, n.e.c.</t>
  </si>
  <si>
    <t>This class excludes:
- agriculture pest control, see 01.61
- automobile cleaning, car wash, see 45.20</t>
  </si>
  <si>
    <t>Landscape service activities</t>
  </si>
  <si>
    <t>This class includes:
- planting, care and maintenance of:
  . parks and gardens for:
    . private and public housing
    . public and semi-public buildings (schools, hospitals, administrative buildings, church buildings etc.)
    . municipal grounds (parks, green areas, cemeteries etc.)
    . highway greenery (roads, train lines and tramlines, waterways, ports)
    . industrial and commercial buildings
- greenery for:
  . buildings (roof gardens, faÃ§ade greenery, indoor gardens etc.)
  . sports grounds (football fields, golf courses etc.), play grounds, lawns for sunbathing and other recreational parks
  . stationary and flowing water (basins, alternating wet areas, ponds, swimming pools, ditches, watercourses, plant sewage systems)
- plants for protection against noise, wind, erosion, visibility and dazzling</t>
  </si>
  <si>
    <t>This class excludes:
- commercial production and planting for commercial production of plants, trees, see divisions 01, 02
- tree nurseries and forest tree nurseries, see 01.30, 02.10
- keeping the land in good environmental condition for agricultural use, see 01.61
- construction activities for landscaping purposes, see section F
- landscape design and architecture activities, see 71.11</t>
  </si>
  <si>
    <t>Office administrative, office support and other business support activities</t>
  </si>
  <si>
    <t>This division includes the provision of a range of day-to-day office administrative services, as well as ongoing routine business support functions for others, on a contract or fee basis.</t>
  </si>
  <si>
    <t>This division also includes all support service activities typically provided to businesses not elsewhere classified.</t>
  </si>
  <si>
    <t>Units classified in this division do not provide operating staff to carry out the complete operations of a business.</t>
  </si>
  <si>
    <t>Office administrative and support activities</t>
  </si>
  <si>
    <t>This group includes the provision of a range of day-to-day office administrative services, such as financial planning, billing and record keeping, personnel and physical distribution and logistics for others on a contract or fee basis.</t>
  </si>
  <si>
    <t>This group also includes support activities for others on a contract or fee basis, that are ongoing routine business support functions that businesses and organisations traditionally do for themselves.</t>
  </si>
  <si>
    <t>Units classified in this group do not provide operating staff to carry out the complete operations of a business. Units engaged in one particular aspect of these activities are classified according to that particular activity.</t>
  </si>
  <si>
    <t>Combined office administrative service activities</t>
  </si>
  <si>
    <t>This class includes the provision of a combination of day-to-day office administrative services, such as reception, financial planning, billing and record keeping, personnel and mail services etc. for others on a contract or fee basis.</t>
  </si>
  <si>
    <t>This class excludes:
- provision of only one particular aspect of these activities, see class according to that particular activity
- provision of the operating staff without supervision, see 78</t>
  </si>
  <si>
    <t>Photocopying, document preparation and other specialised office support activities</t>
  </si>
  <si>
    <t>This class includes a variety of copying, document preparation and specialised office support activities. The document copying/printing activities included here cover only short-run type printing activities.
This class includes: 
- document preparation
- document editing or proofreading 
- typing and word processing 
- secretarial support services
- transcription of documents, and other secretarial services
- letter or resume writing 
- provision of mailbox rental and other postal and mailing services, such as pre-sorting, addressing, etc. 
- photocopying 
- duplicating
- blueprinting
- other document copying services (without also providing printing services, such as offset printing, quick printing, digital printing, pre-press services)</t>
  </si>
  <si>
    <t>This class excludes:
- printing of documents (offset printing, quick printing etc.), see 18.12
- pre-press services, see 18.13
- developing and organising mail advertising campaigns, see 73.11
- specialised stenotype services such as court reporting, see 82.99
- public stenography services, see 82.99</t>
  </si>
  <si>
    <t>Activities of call centres</t>
  </si>
  <si>
    <t>This class includes the activities of: 
- inbound call centres, answering calls from clients by using human operators, automatic call distribution, computer telephone integration, interactive voice response systems or similar methods to receive orders, provide product information, deal with customer requests for assistance or address customer complaints 
- outbound call centres using similar methods to sell or market goods or services to potential customers, undertake market research or public opinion polling and similar activities for clients</t>
  </si>
  <si>
    <t>Organisation of conventions and trade shows</t>
  </si>
  <si>
    <t>This class includes the organisation, promotion and/or management of events, such as business and trade shows, conventions, conferences and meetings, whether or not including the management and provision of the staff to operate the facilities in which these events take place.</t>
  </si>
  <si>
    <t>Business support service activities n.e.c.</t>
  </si>
  <si>
    <t>This group includes the activities of collection agencies, credit bureaus and all support activities typically provided to businesses not elsewhere classified.</t>
  </si>
  <si>
    <t>Activities of collection agencies and credit bureaus</t>
  </si>
  <si>
    <t>This class includes:
- collection of payments for claims and remittance of payments collected to the clients, such as bill or debt collection services
- compiling of information, such as credit and employment histories on individuals and credit histories on businesses and providing the information to financial institutions, retailers and others who have a need to evaluate the creditworthiness of these persons and businesses</t>
  </si>
  <si>
    <t>Packaging activities</t>
  </si>
  <si>
    <t>This class includes:
- packaging activities on a fee or contract basis, whether or not these involve an automated process:
  . bottling of liquids, including beverages and food
  . packaging of solids (blister packaging, foil-covered etc.)
  . security packaging of pharmaceutical preparations
  . labelling, stamping and imprinting
  . parcel-packing and gift-wrapping</t>
  </si>
  <si>
    <t>This class excludes:
- manufacture of soft drinks and production of mineral water, see 11.07
- packaging activities incidental to transport, see 52.29</t>
  </si>
  <si>
    <t>Other business support service activities n.e.c.</t>
  </si>
  <si>
    <t>This class includes:
- providing verbatim reporting and stenotype recording of live legal proceedings and transcribing subsequent recorded materials, such as:
  . court reporting or stenotype recording services
  . public stenography services
- real-time (i.e. simultaneous) closed captioning of live television performances of meetings, conferences 
- address bar coding services
- bar code imprinting services
- fundraising organisation services on a contract or fee basis
- repossession services
- parking meter coin collection services
- activities of independent auctioneers 
- administration of loyalty programmes
- other support activities typically provided to businesses not elsewhere classified</t>
  </si>
  <si>
    <t>This class excludes:
- provision of document transcription services, see 82.19
- providing film or tape captioning or subtitling services, see 59.12</t>
  </si>
  <si>
    <t>O</t>
  </si>
  <si>
    <t>PUBLIC ADMINISTRATION AND DEFENCE; COMPULSORY SOCIAL SECURITY</t>
  </si>
  <si>
    <t>This section includes activities of a governmental nature, normally carried out by the public administration. This includes the enactment and judicial interpretation of laws and their pursuant regulation, as well as the administration of programmes based on them, legislative activities, taxation, national defence, public order and safety, immigration services, foreign affairs and the administration of government programmes. 
The legal or institutional status is not, in itself, the determining factor for an activity to belong in this section, rather than the activity being of a nature specified in the previous paragraph. This means that activities classified elsewhere in NACE do not fall under this section, even if carried out by public entities. For example, administration of the school system (i.e. regulations, checks, curricula) falls under this section, but teaching itself does not (see section P), and a prison or military hospital is classified to health (see section Q). Similarly, some activities described in this section may be carried out by non-government units.</t>
  </si>
  <si>
    <t>This section also includes compulsory social security activities.</t>
  </si>
  <si>
    <t>Public administration and defence; compulsory social security</t>
  </si>
  <si>
    <t>Administration of the State and the economic and social policy of the community</t>
  </si>
  <si>
    <t>This group includes general administration (e.g. executive, legislative, financial administration etc. at all levels of government) and supervision in the field of social and economic life.</t>
  </si>
  <si>
    <t>General public administration activities</t>
  </si>
  <si>
    <t>This class includes:
- executive and legislative administration of central, regional and local bodies
- administration and supervision of fiscal affairs:
  . operation of taxation schemes
  . duty/tax collection on goods and tax violation investigation
  . customs administration
- budget implementation and management of public funds and public debt:
  . raising and receiving of money and control of their disbursement
- administration of overall (civil) research and development policy and associated funds
- administration and operation of overall economic and social planning and statistical services at the various levels of government</t>
  </si>
  <si>
    <t>This class excludes:
- operation of government owned or occupied buildings, see 68.2, 68.3
- administration of research and development policies intended to increase personal well-being and of associated funds, see 84.12
- administration of research and development policies intended to improve economic performance and competitiveness, see 84.13
- administration of defence-related research and development policies and of associated funds, see 84.22
- operation of government archives, see 91.01</t>
  </si>
  <si>
    <t>Regulation of the activities of providing health care, education, cultural services and other social services, excluding social security</t>
  </si>
  <si>
    <t>This class includes:
- public administration of programmes aimed to increase personal well-being:
  . health
  . education
  . culture
  . sport
  . recreation
  . environment
  . housing
  . social services
- public administration of research and development policies and associated funds for these areas</t>
  </si>
  <si>
    <t>This class also includes: 
- sponsoring of recreational and cultural activities
- distribution of public grants to artists
- administration of potable water supply programmes
- administration of waste collection and disposal operations
- administration of environmental protection programmes
- administration of housing programmes</t>
  </si>
  <si>
    <t>This class excludes: 
- sewage, refuse disposal and remediation activities, see divisions 37, 38, 39
- compulsory social security activities, see 84.30
- education activities, see section P
- human health-related activities, see division 86
- museums and other cultural institutions, see division 91
- activities of government operated libraries and archives, see 91.01
- sporting or other recreational activities, see division 93</t>
  </si>
  <si>
    <t>Regulation of and contribution to more efficient operation of businesses</t>
  </si>
  <si>
    <t>This class includes:
- public administration and regulation, including subsidy allocation, for different economic sectors: 
  . agriculture
  . land use
  . energy and mining resources
  . infrastructure
  . transport
  . communication
  . hotels and tourism
  . wholesale and retail trade
- administration of research and development policies and associated funds to improve economic performance
- administration of general labour affairs
- implementation of regional development policy measures, e.g. to reduce unemployment</t>
  </si>
  <si>
    <t>This class excludes:
- research and experimental development activities, see division 72</t>
  </si>
  <si>
    <t>Provision of services to the community as a whole</t>
  </si>
  <si>
    <t>This group includes foreign affairs, defence and public order and safety activities.</t>
  </si>
  <si>
    <t>Foreign affairs</t>
  </si>
  <si>
    <t>This class includes:
- administration and operation of the ministry of foreign affairs and diplomatic and consular missions stationed abroad or at offices of international organisations
- administration, operation and support for information and cultural services intended for distribution beyond national boundaries
- aid to foreign countries, whether or not routed through international organisations
- provision of military aid to foreign countries
- management of foreign trade, international financial and foreign technical affairs</t>
  </si>
  <si>
    <t>This class excludes:
- international disaster or conflict refugee services, see 88.99</t>
  </si>
  <si>
    <t>Defence activities</t>
  </si>
  <si>
    <t>This class includes:
- administration, supervision and operation of military defence affairs and land, sea, air and space defence forces such as:
  . combat forces of army, navy and air force
  . engineering, transport, communications, intelligence, material, personnel and other non-combat forces and commands
  . reserve and auxiliary forces of the defence establishment
  . military logistics (provision of equipment, structures, supplies etc.)
  . health activities for military personnel in the field
- administration, operation and support of civil defence forces
- support for the working out of contingency plans and the carrying out of exercises in which civilian institutions and populations are involved
- administration of defence-related research and development policies and related funds</t>
  </si>
  <si>
    <t>This class excludes:
- research and experimental development activities, see division 72
- provision of military aid to foreign countries, see 84.21
- activities of military tribunals, see 84.23 
- provision of supplies for domestic emergency use in case of peacetime disasters, see 84.24 
- educational activities of military schools, colleges and academies, see 85.4
- activities of military hospitals, see 86.10</t>
  </si>
  <si>
    <t>Justice and judicial activities</t>
  </si>
  <si>
    <t>This class includes:
- administration and operation of administrative civil and criminal law courts, military tribunals and the judicial system, including legal representation and advice on behalf of the government or when provided by the government in cash or services
- rendering of judgements and interpretations of the law
- arbitration of civil actions
- prison administration and provision of correctional services, including rehabilitation services, regardless of whether their administration and operation is done by government units or by private units on a contract or fee basis</t>
  </si>
  <si>
    <t>This class excludes:
- advice and representation in civil, criminal and other cases, see 69.10
- activities of prison schools, see division 85
- activities of prison hospitals, see 86.10</t>
  </si>
  <si>
    <t>Public order and safety activities</t>
  </si>
  <si>
    <t>This class includes:
- administration and operation of regular and auxiliary police forces supported by public authorities and of port, border, coastguards and other special police forces, including traffic regulation, alien registration, maintenance of arrest records
- provision of supplies for domestic emergency use in case of peacetime disasters</t>
  </si>
  <si>
    <t>This class excludes:
- operation of police laboratories, see 71.20
- administration and operation of military armed forces, see 84.22</t>
  </si>
  <si>
    <t>Fire service activities</t>
  </si>
  <si>
    <t>This class includes:
- fire fighting and fire prevention:
  . administration and operation of regular and auxiliary fire brigades in fire prevention, fire fighting, rescue of persons and animals, assistance in civic disasters, floods, road accidents etc.</t>
  </si>
  <si>
    <t>This class excludes:
- forestry fire protection and fire fighting services, see 02.40
- oil and gas field fire fighting, see 09.10
- fire fighting and fire prevention services at airports provided by non-specialised units, see 52.23</t>
  </si>
  <si>
    <t>Compulsory social security activities</t>
  </si>
  <si>
    <t>This class includes:
- funding and administration of government-provided social security programmes:
  . sickness, work-accident and unemployment insurance
  . retirement pensions
  . programmes covering losses of income due to maternity, temporary disablement, widowhood etc.</t>
  </si>
  <si>
    <t>This class excludes:
- non-compulsory social security, see 65.30
- provision of welfare services and social work (without accommodation), see 88.10, 88.99</t>
  </si>
  <si>
    <t>P</t>
  </si>
  <si>
    <t>EDUCATION</t>
  </si>
  <si>
    <t>This section includes education at any level or for any profession. The instructions may be oral or written and may be provided by radio, television, Internet or via correspondence. 
It includes education by the different institutions in the regular school system at its different levels as well as adult education, literacy programmes etc. Also included are military schools and academies, prison schools etc. at their respective levels. The section includes public as well as private education.
For each level of initial education, the classes include special education for physically or mentally handicapped pupils. 
The breakdown of the categories in this section is based on the level of education offered as defined by the levels of ISCED 1997. The activities of educational institutions providing courses on ISCED level 0 are classified in 85.10, on ISCED level 1 in 85.20, on ISCED levels 2-3 in group 85.3, on ISCED level 4 in 85.41 and on ISCED level 5-6 in 85.42.</t>
  </si>
  <si>
    <t>This section also includes instruction primarily concerned with sport and recreational activities such as tennis or golf and education support activities.</t>
  </si>
  <si>
    <t>Education</t>
  </si>
  <si>
    <t>Pre-primary education</t>
  </si>
  <si>
    <t xml:space="preserve">Pre-primary education </t>
  </si>
  <si>
    <t>This class includes:
- pre-primary education (education preceding the first level). Pre-primary education is defined as the initial stage of organised instruction designed primarily to introduce very young children to a school-type environment, that is, to provide a bridge between the home and a school-based atmosphere.</t>
  </si>
  <si>
    <t>This class excludes:
- child day-care activities, see 88.91</t>
  </si>
  <si>
    <t>Primary education</t>
  </si>
  <si>
    <t xml:space="preserve">Primary education </t>
  </si>
  <si>
    <t>This class includes primary education: the furnishing of academic courses and associated course work that give students a sound basic education in reading, writing and mathematics and an elementary understanding of other subjects such as history, geography, natural science, social science, art and music. 
Such education is generally provided for children, however the provision of literacy programmes within or outside the school system, which are similar in content to programmes in primary education but are intended for those considered too old to enter elementary schools, is also included (i.e. adult literacy programmes).</t>
  </si>
  <si>
    <t>This class excludes:
- adult education as defined in 85.5
- child day-care activities, including day nurseries for pupils, see 88.91</t>
  </si>
  <si>
    <t>Secondary education</t>
  </si>
  <si>
    <t>This group includes the provision of general secondary and technical and vocational secondary education.</t>
  </si>
  <si>
    <t>This group excludes:
- adult education as defined in 85.5</t>
  </si>
  <si>
    <t xml:space="preserve">General secondary education </t>
  </si>
  <si>
    <t>This class includes provision of the type of education that lays the foundation for lifelong learning and human development and is capable of furthering education opportunities. Such units provide programmes that are usually on a more subject-oriented pattern using more specialised teachers, and more often employ several teachers conducting classes in their field of specialisation. 
Subject specialisation at this level often begins to have some influence even on the educational experience of those pursuing a general programme. Such programmes are designated to qualify students either for technical and vocational education or for entrance to higher education without any special subject prerequisite.
This class includes:
- lower general secondary education corresponding more or less to the period of compulsory school attendance
- upper general secondary education giving, in principle, access to higher education</t>
  </si>
  <si>
    <t xml:space="preserve">Technical and vocational secondary education </t>
  </si>
  <si>
    <t>This class includes provision of education typically emphasising subject-matter specialisation and instruction in both theoretical background and practical skills generally associated with present or prospective employment. The aim of a programme can vary from preparation for a general field of employment to a very specific job.
This class includes:
- technical and vocational education below the level of higher education as defined in 85.4</t>
  </si>
  <si>
    <t>This class also includes:
- tourist guide instruction
- instruction for chefs, hoteliers and restaurateurs
- cosmetology and barber schools
- computer repair training
- driving schools for occupational drivers e.g. of trucks, buses, coaches, schools for professional pilots</t>
  </si>
  <si>
    <t>This class excludes:
- technical and vocational higher education, see 85.4
- performing art instruction for recreation, hobby and self-development purposes, see 85.52
- automobile driving schools not intended for occupational drivers, see 85.53
- job training forming part of social work activities without accommodation, see 88.10, 88.99</t>
  </si>
  <si>
    <t>Higher education</t>
  </si>
  <si>
    <t>This group includes the furnishing of post-secondary non-tertiary and academic courses and granting of degrees at baccalaureate, graduate or post-graduate level. The requirement for admission is a diploma at least at upper secondary education level.</t>
  </si>
  <si>
    <t>Post-secondary non-tertiary education</t>
  </si>
  <si>
    <t>This class includes provision of post-secondary education, which cannot be considered tertiary education. For example provision of supplementary post-secondary education to prepare for tertiary education or post-secondary non-tertiary vocational.</t>
  </si>
  <si>
    <t>Tertiary education</t>
  </si>
  <si>
    <t>This class includes:
- first, second and third stages of tertiary education</t>
  </si>
  <si>
    <t>This class also includes:
- performing arts schools providing tertiary education</t>
  </si>
  <si>
    <t>Other education</t>
  </si>
  <si>
    <t>This group includes general continuing education and continuing vocational education and training for any profession, hobby or self-development purposes.
It includes camps and schools offering instruction in athletic activities to groups or individuals, foreign language instruction, instruction in the arts, drama or music or other instruction or specialised training, not comparable to the education in groups 85.1 - 85.4.</t>
  </si>
  <si>
    <t>It excludes educational activities as outlined in groups 85.1-85.4, i.e. pre-primary education, primary education, secondary education or higher education.</t>
  </si>
  <si>
    <t>Sports and recreation education</t>
  </si>
  <si>
    <t>This class includes the provision of instruction in athletic activities to groups of individuals, such as by camps and schools. Overnight and day sports instruction camps are also included. It does not include academic schools, colleges and universities. Instruction may be provided in diverse settings, such as the unit's or client's training facilities, educational institutions or by other means. Instruction provided in this class is formally organised.
This class includes:
- sports instruction (baseball, basketball, cricket, football, etc)
- camps, sports instruction
- gymnastics instruction
- riding instruction, academies or schools
- swimming instruction
- professional sports instructors, teachers, coaches
- martial arts instruction
- card game instruction (such as bridge)
- yoga instruction</t>
  </si>
  <si>
    <t>This class excludes:
- cultural education, see 85.52</t>
  </si>
  <si>
    <t>Cultural education</t>
  </si>
  <si>
    <t>This class includes provision of instruction in the arts, drama and music. Units giving this type of instructions might be named "schoolsâ€, "studiosâ€, "classesâ€ etc. They provide formally organised instruction, mainly for hobby, recreational or self-development purposes, but such instruction does not lead to a professional diploma, baccalaureate or graduate degree.
This class includes:
- piano teachers and other music instruction
- art instruction
- dance instruction and dance studios
- drama schools (except academic)
- fine arts schools (except academic)
- performing arts schools (except academic)
- photography schools (except commercial)</t>
  </si>
  <si>
    <t>This class excludes:
- foreign language instruction, see 85.59</t>
  </si>
  <si>
    <t>Driving school activities</t>
  </si>
  <si>
    <t>This class also includes:
- flying, sailing, shipping schools not issuing commercial certificates and permits</t>
  </si>
  <si>
    <t>This class excludes:
- driving schools for occupational drivers, see 85.32</t>
  </si>
  <si>
    <t>Other education n.e.c.</t>
  </si>
  <si>
    <t>This class includes:
- education that is not definable by level
- academic tutoring 
- learning centres offering remedial courses
- professional examination review courses
- language instruction and conversational skills instruction
- computer training
- religious instruction</t>
  </si>
  <si>
    <t>This class also includes:
- lifeguard training
- survival training
- public speaking training
- speed reading instruction</t>
  </si>
  <si>
    <t>This class excludes:
- adult literacy programmes see 85.20
- general secondary education, see 85.31
- technical and vocational secondary education, see 85.32
- higher education, see 85.4</t>
  </si>
  <si>
    <t>Educational support activities</t>
  </si>
  <si>
    <t>This class includes:
- provision of non-instructional activities that support educational processes or systems:
  . educational consulting
  . educational guidance counselling activities
  . educational testing evaluation activities
  . educational testing activities
  . organisation of student exchange programmes</t>
  </si>
  <si>
    <t>This class excludes:
- research and experimental development on social sciences and humanities, see 72.20</t>
  </si>
  <si>
    <t>Q</t>
  </si>
  <si>
    <t>HUMAN HEALTH AND SOCIAL WORK ACTIVITIES</t>
  </si>
  <si>
    <t>This section includes the provision of health and social work activities. Activities include a wide range of activities, starting from health care provided by trained medical professionals in hospitals and other facilities, over residential care activities that still involve a degree of health care activities to social work activities without any involvement of health care professionals.</t>
  </si>
  <si>
    <t>Human health activities</t>
  </si>
  <si>
    <t>This division includes activities of short- or long-term hospitals, general or specialty medical, surgical, psychiatric and substance abuse hospitals, sanatoria, preventoria, medical nursing homes, asylums, mental hospital institutions, rehabilitation centres, leprosaria and other human health institutions which have accommodation facilities and which engage in providing diagnostic and medical treatment to inpatients with any of a wide variety of medical conditions.</t>
  </si>
  <si>
    <t>It also includes medical consultation and treatment in the field of general and specialised medicine by general practitioners and medical specialists and surgeons. It includes dental practice activities of a general or specialised nature and orthodontic activities. Additionally, this division includes activities for human health not performed by hospitals or by practicing medical doctors but by paramedical practitioners legally recognised to treat patients.</t>
  </si>
  <si>
    <t>Hospital activities</t>
  </si>
  <si>
    <t>This class includes:
- short- or long-term hospital activities, i.e. medical, diagnostic and treatment activities, of general hospitals (e.g. community and regional hospitals, hospitals of non-profit organisations, university hospitals, military-base and prison hospitals) and specialised hospitals (e.g. mental health and substance abuse hospitals, hospitals for infectious diseases, maternity hospitals, specialised sanatoriums).
The activities are chiefly directed to inpatients, are carried out under the direct supervision of medical doctors and include:
  . services of medical and paramedical staff
  . services of laboratory and technical facilities, including radiologic and anaesthesiologic services
  . emergency room services
  . provision of operating room services, pharmacy services, food and other hospital services
  . services of family planning centres providing medical treatment such as sterilisation and termination of pregnancy, with accommodation</t>
  </si>
  <si>
    <t>This class excludes:
- laboratory testing and inspection of all types of materials and products, except medical, see 71.20
- veterinary activities, see 75.00
- health activities for military personnel in the field, see 84.22
- dental practice activities of a general or specialised nature, e.g. dentistry, endodontic and pediatric dentistry; oral pathology, orthodontic activities, see 86.23
- private consultants' services to inpatients, see 86.2
- medical laboratory testing, see 86.90
- ambulance transport activities, see 86.90</t>
  </si>
  <si>
    <t>Medical and dental practice activities</t>
  </si>
  <si>
    <t>This group includes medical consultation and treatment done by general medical practitioners and medical specialists, including surgeons, dentists etc.
These activities can be carried out in private practice, group practices and in hospital outpatient clinics, and in clinics such as those attached to firms, schools, homes for the aged, labour organisations and fraternal organisations, as well as in patients' homes.</t>
  </si>
  <si>
    <t>This group also includes:
- private consultants' services to inpatients</t>
  </si>
  <si>
    <t>General medical practice activities</t>
  </si>
  <si>
    <t>This class includes:
- medical consultation and treatment in the field of general medicine carried out by general practitioners.</t>
  </si>
  <si>
    <t>This class excludes:
- inpatient hospital activities, see 86.10
- paramedical activities such as those of midwives, nurses and physiotherapists, see 86.90</t>
  </si>
  <si>
    <t>Specialist medical practice activities</t>
  </si>
  <si>
    <t>This class includes:
- medical consultation and treatment in the field of specialised medicine by medical specialists and surgeons</t>
  </si>
  <si>
    <t>This class also includes:
- family planning centres providing medical treatment such as sterilisation and termination of pregnancy, without accommodation</t>
  </si>
  <si>
    <t>This class excludes:
- inpatient hospital activities, see 86.10
- activities of midwives, physiotherapists and other paramedical practitioners, see 86.90</t>
  </si>
  <si>
    <t>Dental practice activities</t>
  </si>
  <si>
    <t>This class includes:
- dental practice activities of a general or specialised nature, e.g. dentistry, endodontic and pediatric dentistry; oral pathology 
- orthodontic activities</t>
  </si>
  <si>
    <t>This class also includes:
- dental activities in operating rooms</t>
  </si>
  <si>
    <t>This class excludes:
- production of artificial teeth, denture and prosthetic appliances by dental laboratories, see 32.50
- inpatient hospital activities, see 86.10
- activities of dental paramedical personnel such as dental hygienists, see 86.90</t>
  </si>
  <si>
    <t>Other human health activities</t>
  </si>
  <si>
    <t>This class includes:
- activities for human health not performed by hospitals or by medical doctors or dentists:
  . activities of nurses, midwives, physiotherapists or other paramedical practitioners in the field of optometry, hydrotherapy, medical massage, occupational therapy, speech therapy, chiropody, homeopathy, chiropractic, acupuncture etc.
These activities may be carried out in health clinics such as those attached to firms, schools, homes for the aged, labour organisations and fraternal organisations and in residential health facilities other than hospitals, as well as in own consulting rooms, patients' homes or elsewhere.</t>
  </si>
  <si>
    <t>This class also includes:
- activities of dental paramedical personnel such as dental therapists, school dental nurses and dental hygienists, who may work remote from, but are periodically supervised by, the dentist
- activities of medical laboratories such as:
  . X-ray laboratories and other diagnostic imaging centres
  . blood analysis laboratories
- activities of blood banks, sperm banks, transplant organ banks etc.
- ambulance transport of patients by any mode of transport including airplanes. These services are often provided during a medical emergency.</t>
  </si>
  <si>
    <t>This class excludes:
- production of artificial teeth, denture and prosthetic appliances by dental laboratories, see 32.50
- transfer of patients, with neither equipment for lifesaving nor medical personnel, see divisions 49, 50, 51
- non-medical laboratory testing, see 71.20
- testing activities in the field of food hygiene, see 71.20
- hospital activities, see 86.10
- medical and dental practice activities, see 86.2
- residential nursing care facilities, see 87.10</t>
  </si>
  <si>
    <t>Residential care activities</t>
  </si>
  <si>
    <t>This division includes the provision of residential care combined with either nursing, supervisory or other types of care as required by the residents. Facilities are a significant part of the production process and the care provided is a mix of health and social services with the health services being largely some level of nursing services.</t>
  </si>
  <si>
    <t>Residential nursing care activities</t>
  </si>
  <si>
    <t>This class includes:
- activities of:
  . homes for the elderly with nursing care
  . convalescent homes
  . rest homes with nursing care
  . nursing care facilities
  . nursing homes</t>
  </si>
  <si>
    <t>This class excludes:
- in-home services provided by health care professionals, see division 86
- activities of the homes for the elderly without or with minimal nursing care, see 87.30
- social work activities with accommodation, such as orphanages, children's boarding homes and hostels, temporary homeless shelters, see 87.90</t>
  </si>
  <si>
    <t>Residential care activities for mental retardation, mental health and substance abuse</t>
  </si>
  <si>
    <t>This class includes the provision of residential care (but not licensed hospital care) to people with mental retardation, mental illness, or substance abuse problems. Facilities provide room, board, protective supervision and counselling and some health care. 
This class includes:
- activities of:
  . facilities for alcoholism or drug addiction treatment
  . psychiatric convalescent homes
  . residential group homes for the emotionally disturbed
  . mental retardation facilities
  . mental health halfway houses</t>
  </si>
  <si>
    <t>This class also includes:
- provision of residential care and treatment for patients with mental health and substance abuse illnesses</t>
  </si>
  <si>
    <t>This class excludes:
- mental hospitals, see 86.10
- social work activities with accommodation, such as temporary homeless shelters, see 87.90</t>
  </si>
  <si>
    <t>Residential care activities for the elderly and disabled</t>
  </si>
  <si>
    <t>This class includes the provision of residential and personal care services for the elderly and disabled who are unable to fully care for themselves and/or who do not desire to live independently. The care typically includes room, board, supervision, and assistance in daily living, such as housekeeping services. In some instances these units provide skilled nursing care for residents in separate on-site facilities.
This class includes:
- activities of:
  . assisted-living facilities
  . continuing care retirement communities
  . homes for the elderly with minimal nursing care
  . rest homes without nursing care</t>
  </si>
  <si>
    <t>This class excludes:
- activities of homes for the elderly with nursing care, see 87.10
- social work activities with accommodation where medical treatment or education are not important elements, see 87.90</t>
  </si>
  <si>
    <t>Other residential care activities</t>
  </si>
  <si>
    <t>This class includes the provision of residential and personal care services for persons, except the elderly and disabled, who are unable to fully care for themselves or who do not desire to live independently.
This class includes:
- activities provided on a round-the-clock basis directed to provide social assistance to children and special categories of persons with some limits on ability for self-care, but where medical treatment or education are not important elements:
  . orphanages
  . children's boarding homes and hostels
  . temporary homeless shelters
  . institutions that take care of unmarried mothers and their children
The activities may be carried out by government offices or private organisations.</t>
  </si>
  <si>
    <t>This class also includes:
- activities of:
  . halfway group homes for persons with social or personal problems
  . halfway homes for delinquents and offenders
  . juvenile correction homes</t>
  </si>
  <si>
    <t>This class excludes:
- funding and administration of compulsory social security programmes, see 84.30
- activities of nursing care facilities, see 87.10
- residential care activities for the elderly or disabled, see 87.30
- adoption activities, see 88.99
- short-term shelter activities for disaster victims, see 88.99</t>
  </si>
  <si>
    <t>Social work activities without accommodation</t>
  </si>
  <si>
    <t>This division includes the provision of a variety of social assistance services directly to clients. The activities in this division do not include accommodation services, except on a temporary basis.</t>
  </si>
  <si>
    <t>Social work activities without accommodation for the elderly and disabled</t>
  </si>
  <si>
    <t>This class includes:
- social, counselling, welfare, referral and similar services which are aimed at the elderly and disabled in their homes or elsewhere and carried out by government offices or by private organisations, national or local self-help organisations and by specialists providing counselling services:
  . visiting of the elderly and disabled
  . day-care activities for the elderly or for disabled adults
  . vocational rehabilitation and habilitation activities for disabled persons provided that the education component is limited</t>
  </si>
  <si>
    <t>This class excludes:
- funding and administration of compulsory social security programmes, see 84.30
- activities similar to those described in this class, but including accommodation, see 87.30
- day-care activities for disabled children, see 88.91</t>
  </si>
  <si>
    <t>Other social work activities without accommodation</t>
  </si>
  <si>
    <t>Child day-care activities</t>
  </si>
  <si>
    <t>This class also includes:
- activities of day nurseries for pupils, including day-care activities for disabled children</t>
  </si>
  <si>
    <t>Other social work activities without accommodation n.e.c.</t>
  </si>
  <si>
    <t>This class includes:
- social, counselling, welfare, refugee, referral and similar services which are delivered to individuals and families in their homes or elsewhere and carried out by government offices or by private organisations, disaster relief organisations and national or local self-help organisations and by specialists providing counselling services:
  . welfare and guidance activities for children and adolescents
  . adoption activities, activities for the prevention of cruelty to children and others
  . household budget counselling, marriage and family guidance, credit and debt counselling services
  . community and neighbourhood activities
  . activities for disaster victims, refugees, immigrants etc., including temporary or extended shelter for them
  . vocational rehabilitation and habilitation activities for unemployed persons provided that the education component is limited
  . eligibility determination in connection with welfare aid, rent supplements or food stamps
  . day facilities for the homeless and other socially weak groups
  . charitable activities like fund-raising or other supporting activities aimed at social work</t>
  </si>
  <si>
    <t>This class excludes:
- funding and administration of compulsory social security programmes, see 84.30
- activities similar to those described in this class, but including accommodation, see 87.90</t>
  </si>
  <si>
    <t>R</t>
  </si>
  <si>
    <t>ARTS, ENTERTAINMENT AND RECREATION</t>
  </si>
  <si>
    <t>This section includes a wide range of activities to meet varied cultural, entertainment and recreational interests of the general public, including live performances, operation of museum sites, gambling, sports and recreation activities.</t>
  </si>
  <si>
    <t>Creative, arts and entertainment activities</t>
  </si>
  <si>
    <t>This division includes the operation of facilities and provision of services to meet the cultural and entertainment interests of their customers. This includes the production and promotion of, and participation in, live performances, events or exhibits intended for public viewing; the provision of artistic, creative or technical skills for the production of artistic products and live performances.</t>
  </si>
  <si>
    <t>This division excludes:
- the operation of museums of all kinds, botanical and zoological gardens; the preservation of historical sites; and nature reserves activities, see division 91 
- gambling and betting activities, see division 92 
- sports and amusement and recreation activities, see division 93.
Some units that provide cultural, entertainment or recreational facilities and services are classified in other divisions, such as:
- motion picture and video production and distribution, see 59.11, 59.12, 59.13
- motion picture projection, see 59.14
- radio and television broadcasting, see 60.1, 60.2</t>
  </si>
  <si>
    <t>This group includes activities in the creative and performing arts and related activities.</t>
  </si>
  <si>
    <t>Performing arts</t>
  </si>
  <si>
    <t>This class includes:
- production of live theatrical presentations, concerts and opera or dance productions and other stage productions:
  . activities of groups, circuses or companies, orchestras or bands
  . activities of individual artists such as actors, dancers, musicians, lecturers or speakers</t>
  </si>
  <si>
    <t>This class excludes:
- activities of personal theatrical or artistic agents or agencies, see 74.90
- casting activities, see 78.10</t>
  </si>
  <si>
    <t>Support activities to performing arts</t>
  </si>
  <si>
    <t>This class includes:
- support activities to performing arts for production of live theatrical presentations, concerts and opera or dance productions and other stage productions:
  . activities of directors, producers, stage-set designers and builders, scene shifters, lighting engineers etc.</t>
  </si>
  <si>
    <t>This class also includes:
- activities of producers or entrepreneurs of arts live events, with or without facilities</t>
  </si>
  <si>
    <t>Artistic creation</t>
  </si>
  <si>
    <t>This class includes:
- activities of individual artists such as sculptors, painters, cartoonists, engravers, etchers etc.
- activities of individual writers, for all subjects including fictional writing, technical writing etc.
- activities of independent journalists
- restoring of works of art such as paintings etc.</t>
  </si>
  <si>
    <t>This class excludes:
- manufacture of statues, other than artistic originals, see 23.70
- restoring of organs and other historical musical instruments, see 33.19
- motion picture and video production, see 59.11, 59.12
- restoring of furniture (except museum type restoration), see 95.24</t>
  </si>
  <si>
    <t>Operation of arts facilities</t>
  </si>
  <si>
    <t>This class includes:
- operation of concert and theatre halls and other arts facilities</t>
  </si>
  <si>
    <t>This class excludes:
- operation of cinemas, see 59.14
- activities of ticket agencies, see 79.90
- operation of museums of all kinds, see 91.02</t>
  </si>
  <si>
    <t>Libraries, archives, museums and other cultural activities</t>
  </si>
  <si>
    <t>This division includes the activities of libraries and archives; the operation of museums of all kinds, botanical and zoological gardens; the operation of historical sites and nature reserves activities.</t>
  </si>
  <si>
    <t>It also includes the preservation and exhibition of objects, sites and natural wonders of historical, cultural or educational interest (e.g. world heritage sites, etc).</t>
  </si>
  <si>
    <t>This division excludes:
- sports and amusement and recreation activities such as the operation of bathing beaches and recreation parks, see division 93</t>
  </si>
  <si>
    <t>Library and archives activities</t>
  </si>
  <si>
    <t>This class includes:
- documentation and information activities of libraries of all kinds, reading, listening and viewing rooms, public archives providing service to the general public or to a special clientele, such as students, scientists, staff, members as well as operation of government archives:
  . organisation of a collection, whether specialised or not
  . cataloguing collections
  . lending and storage of books, maps, periodicals, films, records, tapes, works of art etc.
  . retrieval activities in order to comply with information requests etc.
- stock photo and movie libraries and services</t>
  </si>
  <si>
    <t>Museums activities</t>
  </si>
  <si>
    <t>This class includes:
- operation of museums of all kinds:
  . art museums, museums of jewellery, furniture, costumes, ceramics, silverware
  . natural history, science and technological museums, historical museums, including military museums 
  . other specialised museums
  . open-air museums</t>
  </si>
  <si>
    <t>This class excludes:
- activities of commercial art galleries, see 47.78
- restoration of works of art and museum collection objects, see 90.03
- activities of libraries and archives, see 91.01</t>
  </si>
  <si>
    <t>Operation of historical sites and buildings and similar visitor attractions</t>
  </si>
  <si>
    <t>This class includes:
- operation and preservation of historical sites and buildings</t>
  </si>
  <si>
    <t>This class excludes:
- renovation and restoration of historical sites and buildings, see section F</t>
  </si>
  <si>
    <t>Botanical and zoological gardens and nature reserves activities</t>
  </si>
  <si>
    <t>This class includes:
- operation of botanical and zoological gardens, including children's zoos
- operation of nature reserves, including wildlife preservation, etc.</t>
  </si>
  <si>
    <t>This class excludes:
- landscape and gardening activities, see 81.30
- operation of sport fishing and hunting preserves, see 93.19</t>
  </si>
  <si>
    <t>Gambling and betting activities</t>
  </si>
  <si>
    <t>This division includes the operation of gambling facilities such as casinos, bingo halls and video gaming terminals and the provision of gambling services, such as lotteries and off-track betting.</t>
  </si>
  <si>
    <t>This class includes gambling and betting activities such as:
- sale of lottery tickets
- operation (exploitation) of coin-operated gambling machines
- operation of virtual gambling web sites
- bookmaking and other betting operations
- off-track betting
- operation of casinos, including "floating casinosâ€</t>
  </si>
  <si>
    <t>Sports activities and amusement and recreation activities</t>
  </si>
  <si>
    <t>This division includes the provision of recreational, amusement and sports activities (except museums activities, preservation of historical sites, botanical and zoological gardens and nature reserves activities; and gambling and betting activities).</t>
  </si>
  <si>
    <t>Excluded from this division are dramatic arts, music and other arts and entertainment such as the production of live theatrical presentations, concerts and opera or dance productions and other stage productions, see division 90.</t>
  </si>
  <si>
    <t>Sports activities</t>
  </si>
  <si>
    <t>This group includes the operation of sports facilities; activities of sports teams or clubs primarily participating in live sports events before a paying audience; independent athletes engaged in participating in live sporting or racing events before a paying audience; owners of racing participants such as cars, dogs, horses, etc. primarily engaged in entering them in racing events or other spectator sports events; sports trainers providing specialised services to support participants in sports events or competitions; operators of arenas and stadiums; other activities of organising, promoting or managing sports events, n.e.c.</t>
  </si>
  <si>
    <t>Operation of sports facilities</t>
  </si>
  <si>
    <t>This class includes:
- operation of facilities for indoor or outdoor sports events (open, closed or covered, with or without spectator seating):
  . football, hockey, cricket, rugby stadiums
  . racetracks for car, dog, horse races
  . swimming pools and stadiums
  . track and field stadiums
  . winter sports arenas and stadiums
  . ice-hockey arenas
  . boxing arenas
  . golf courses
  . bowling lanes
- organisation and operation of outdoor or indoor sports events for professionals or amateurs by organisations with own facilities</t>
  </si>
  <si>
    <t>This class includes managing and providing the staff to operate these facilities.</t>
  </si>
  <si>
    <t>This class excludes:
- operation of ski lifts, see 49.39
- rental of recreation and sports equipment, see 77.21
- activities of fitness facilities, see 93.13
- park and beach activities, see 93.29</t>
  </si>
  <si>
    <t>Activities of sports clubs</t>
  </si>
  <si>
    <t>This class includes the activities of sports clubs, which, whether professional, semi-professional or amateur clubs, give their members the opportunity to engage in sporting activities.
This class includes:
- operation of sports clubs:
  . football clubs
  . bowling clubs
  . swimming clubs
  . golf clubs
  . boxing clubs
  . winter sports clubs
  . chess clubs
  . track and field clubs
  . shooting clubs, etc.</t>
  </si>
  <si>
    <t>This class excludes:
- sports instruction by individual teachers, trainers, see 85.51
- operation of sports facilities, see 93.11
- organisation and operation of outdoor or indoor sports events for professionals or amateurs by sports clubs with their own facilities, see 93.11</t>
  </si>
  <si>
    <t>Fitness facilities</t>
  </si>
  <si>
    <t>This class includes:
- fitness and body-building clubs and facilities</t>
  </si>
  <si>
    <t>This class excludes:
- sports instruction by individual teachers, trainers, see 85.51</t>
  </si>
  <si>
    <t>Other sports activities</t>
  </si>
  <si>
    <t>This class includes:
- activities of producers or promoters of sports events, with or without facilities
- activities of individual own-account sportsmen and athletes, referees, judges, timekeepers etc.
- activities of sports leagues and regulating bodies
- activities related to promotion of sporting events
- activities of racing stables, kennels and garages
- operation of sport fishing and hunting preserves
- activities of mountain guides
- support activities for sport or recreational hunting and fishing</t>
  </si>
  <si>
    <t>This class excludes:
- rental of sports equipment, see 77.21
- activities of sport and game schools, see 85.51
- activities of sports instructors, teachers, coaches, see 85.51
- organisation and operation of outdoor or indoor sports events for professionals or amateurs by sports clubs with/without own facilities, see 93.11, 93.12
- park and beach activities, see 93.29</t>
  </si>
  <si>
    <t>Amusement and recreation activities</t>
  </si>
  <si>
    <t>This group includes a wide range of units that operate facilities or provide services to meet the varied recreational interests of their patrons. It includes the operation of a variety of attractions, such as mechanical rides, water rides, games, shows, theme exhibits and picnic grounds.</t>
  </si>
  <si>
    <t>This group excludes sports activities and dramatic arts, music and other arts and entertainment.</t>
  </si>
  <si>
    <t>Activities of amusement parks and theme parks</t>
  </si>
  <si>
    <t>This class includes activities of amusement parks or theme parks. It includes the operation of a variety of attractions, such as mechanical rides, water rides, games, shows, theme exhibits and picnic grounds.</t>
  </si>
  <si>
    <t>Other amusement and recreation activities</t>
  </si>
  <si>
    <t>This class includes activities related to entertainment and recreation (except amusement parks and theme parks) not elsewhere classified:
- operation (exploitation) of coin-operated games
- activities of recreation parks (without accommodation)
- operation of recreational transport facilities, e.g. marinas
- operation of ski hills
- rental of leisure and pleasure equipment as an integral part of recreational facilities
- fairs and shows of a recreational nature
- activities of beaches, including rental of facilities such as bathhouses, lockers, chairs etc.
- operation of dance floors</t>
  </si>
  <si>
    <t>This class also includes activities of producers or entrepreneurs of live events other than arts or sports events, with or without facilities.</t>
  </si>
  <si>
    <t>This class excludes:
- operation of teleferics, funiculars, ski and cable lifts, see 49.39
- fishing cruises, see 50.10, 50.30
- provision of space and facilities for short stay by visitors in recreational parks and forests and campgrounds, see 55.30
- trailer parks, recreational camps, hunting and fishing camps, campsites and campgrounds, see 55.30
- discotheques, see 56.30
- theatrical and circus groups, see 90.01</t>
  </si>
  <si>
    <t>S</t>
  </si>
  <si>
    <t>OTHER SERVICE ACTIVITIES</t>
  </si>
  <si>
    <t>This section (as a residual category) includes the activities of membership organisations, the repair of computers and personal and household goods and a variety of personal service activities not covered elsewhere in the classification.</t>
  </si>
  <si>
    <t>Activities of membership organisations</t>
  </si>
  <si>
    <t>This division includes activities of organisations representing interests of special groups or promoting ideas to the general public. These organisations usually have a constituency of members, but their activities may involve and benefit non-members as well. The primary breakdown of this division is determined by the purpose that these organisations serve, namely interests of employers, self-employed individuals and the scientific community (group 94.1), interests of employees (group 94.2) or promotion of religious, political, cultural, educational or recreational ideas and activities (group 94.9).</t>
  </si>
  <si>
    <t>Activities of business, employers and professional membership organisations</t>
  </si>
  <si>
    <t>This group includes the activities of units that promote the interests of the members of business and employers organisations.</t>
  </si>
  <si>
    <t>In the case of professional membership organisations, it also includes the activities of promoting the professional interests of members of the profession.</t>
  </si>
  <si>
    <t>Activities of business and employers membership organisations</t>
  </si>
  <si>
    <t>This class includes:
- activities of organisations whose members' interests centre on the development and prosperity of enterprises in a particular line of business or trade, including farming, or on the economic growth and climate of a particular geographical area or political subdivision without regard for the line of business.
- activities of federations of such associations
- activities of chambers of commerce, guilds and similar organisations
- dissemination of information, representation before government agencies, public relations and labour negotiations of business and employer organisations</t>
  </si>
  <si>
    <t>This class excludes:
- activities of trade unions, see 94.20</t>
  </si>
  <si>
    <t>Activities of professional membership organisations</t>
  </si>
  <si>
    <t>This class includes:
- activities of organisations whose members' interests centre chiefly on a particular scholarly discipline or professional practice or technical field, such as medical associations, legal associations, accounting associations, engineering associations, architects associations etc.
- activities of associations of specialists engaged in scientific, academic or cultural activities, such as associations of writers, painters, performers of various kinds, journalists etc.
- dissemination of information, the establishment and supervision of standards of practice, representation before government agencies and public relations of professional organisations</t>
  </si>
  <si>
    <t>This class also includes:
- activities of learned societies</t>
  </si>
  <si>
    <t>This class excludes:
- education provided by these organisations, see division 85</t>
  </si>
  <si>
    <t>Activities of trade unions</t>
  </si>
  <si>
    <t>This class includes:
- promoting of the interests of organised labour and union employees</t>
  </si>
  <si>
    <t>This class also includes:
- activities of associations whose members are employees interested chiefly in the representation of their views concerning the salary and work situation, and in concerted action through organisation
- activities of single plant unions, of unions composed of affiliated branches and of labour organisations composed of affiliated unions on the basis of trade, region, organisational structure or other criteria</t>
  </si>
  <si>
    <t>This class excludes:
- education provided by such organisations, see division 85</t>
  </si>
  <si>
    <t>Activities of other membership organisations</t>
  </si>
  <si>
    <t>This group includes the activities of units (except business and employers organisations, professional organisations, trade unions) that promote the interests of their members.</t>
  </si>
  <si>
    <t>Activities of religious organisations</t>
  </si>
  <si>
    <t>This class includes:
- activities of religious organisations or individuals providing services directly to worshippers in churches, mosques, temples, synagogues or other places
- activities of organisations furnishing monastery and convent services
- religious retreat activities</t>
  </si>
  <si>
    <t>This class also includes:
- religious funeral service activities</t>
  </si>
  <si>
    <t>This class excludes:
- education provided by such organisations, see division 85
- health activities by such organisations, see division 86
- social work activities by such organisations, see divisions 87, 88</t>
  </si>
  <si>
    <t>Activities of political organisations</t>
  </si>
  <si>
    <t>This class includes:
- activities of political organisations and auxiliary organisations such as young people's auxiliaries associated with a political party. These organisations chiefly engage in influencing decision-taking in public governing bodies by placing members of the party or those sympathetic to the party in political office and involve the dissemination of information, public relations, fund-raising etc.</t>
  </si>
  <si>
    <t>Activities of other membership organisations n.e.c.</t>
  </si>
  <si>
    <t>This class includes:
- activities of organisations (not directly affiliated to a political party) furthering a public cause or issue by means of public education, political influence, fund-raising etc.:
  . citizens initiative or protest movements
  . environmental and ecological movements
  . organisations supporting community and educational facilities n.e.c.
  . organisations for the protection and betterment of special groups, e.g. ethnic and minority groups
  . associations for patriotic purposes, including war veterans' associations
- consumer associations
- automobile associations
- associations for the purpose of social acquaintanceship such as rotary clubs, lodges etc.
- associations of youth, young persons' associations, student associations, clubs and fraternities etc.
- associations for the pursuit of a cultural or recreational activity or hobby (other than sports or games), e.g. poetry, literature and book clubs, historical clubs, gardening clubs, film and photo clubs, music and art clubs, craft and collectors' clubs, social clubs, carnival clubs etc.</t>
  </si>
  <si>
    <t>This class also includes:
- grant giving activities by membership organisations or others</t>
  </si>
  <si>
    <t>This class excludes:
- charitable activities like fund-raising aimed at social work, see 88.99
- activities of professional artistic groups or organisations, see 90.0
- activities of sports clubs, see 93.12
- activities of professional associations, see 94.12</t>
  </si>
  <si>
    <t>Repair of computers and personal and household goods</t>
  </si>
  <si>
    <t>This division includes the repair and maintenance of computers peripheral equipment such as desktops, laptops, computer terminals, storage devices and printers.</t>
  </si>
  <si>
    <t>It also includes the repair of communications equipment such as fax machines, two-way radios and consumer electronics such as radios and TVs, home and garden equipment such as lawn-mowers and blowers, footwear and leather goods, furniture and home furnishings, clothing and clothing accessories, sporting goods, musical instruments, hobby articles and other personal and household goods.</t>
  </si>
  <si>
    <t>Excluded from this division is the repair of medical and diagnostic imaging equipment, measuring and surveying instruments, laboratory instruments, radar and sonar equipment, see 33.13.</t>
  </si>
  <si>
    <t>Repair of computers and communication equipment</t>
  </si>
  <si>
    <t>This group includes the repair and maintenance of computers and peripheral equipment and communications equipment.</t>
  </si>
  <si>
    <t>Repair of computers and peripheral equipment</t>
  </si>
  <si>
    <t>This class includes the repair of electronic equipment, such as computers and computing machinery and peripheral equipment.
This class includes the repair and maintenance of:
- desktop computers
- laptop computers
- magnetic disk drives, flash drives and other storage devices
- optical disk drives (CD-RW, CD-ROM, DVD-ROM, DVD-RW)
- printers
- monitors
- keyboards
- mice, joysticks and trackball accessories
- internal and external computer modems
- dedicated computer terminals
- computer servers
- scanners, including bar code scanners
- smart card readers
- virtual reality helmets
- computer projectors</t>
  </si>
  <si>
    <t>This class also includes the repair and maintenance of:
- computer terminals like automatic teller machines (ATM's); point-of-sale (POS) terminals, not mechanically operated
- hand-held computers (PDA's)</t>
  </si>
  <si>
    <t>This class excludes:
- the repair and maintenance of carrier equipment modems, see 95.12</t>
  </si>
  <si>
    <t>Repair of communication equipment</t>
  </si>
  <si>
    <t>This class includes repair and maintenance of communications equipment such as:
- cordless telephones
- cellular phones
- carrier equipment modems
- fax machines
- communications transmission equipment (e.g. routers, bridges, modems)
- two-way radios
- commercial TV and video cameras</t>
  </si>
  <si>
    <t>Repair of personal and household goods</t>
  </si>
  <si>
    <t>This group includes the repair and servicing of personal and household goods.</t>
  </si>
  <si>
    <t>Repair of consumer electronics</t>
  </si>
  <si>
    <t>This class includes repair and maintenance of consumer electronics:
- repair of consumer electronics:
  . television, radio receivers
  . video cassette recorders (VCR)
  . CD players
  . household-type video cameras</t>
  </si>
  <si>
    <t>Repair of household appliances and home and garden equipment</t>
  </si>
  <si>
    <t>This class includes the repair and servicing household appliances and home and garden equipment:
- repair and servicing of household appliances
  . refrigerators, stoves, washing machines, clothes dryers, room air conditioners, etc.
- repair and servicing of home and garden equipment
  . lawnmowers, edgers, snow- and leaf- blowers, trimmers, etc.</t>
  </si>
  <si>
    <t>This class excludes:
- repair of hand held power tools, see 33.12
- repair of central air conditioning systems, see 43.22</t>
  </si>
  <si>
    <t>Repair of footwear and leather goods</t>
  </si>
  <si>
    <t>This class includes repair and maintenance of footwear and leather goods:
- repair of boots, shoes, luggage and the like
- fitting of heels</t>
  </si>
  <si>
    <t>Repair of furniture and home furnishings</t>
  </si>
  <si>
    <t>This class includes:
- reupholstering, refinishing, repairing and restoring of furniture and home furnishings including office furniture</t>
  </si>
  <si>
    <t>Repair of watches, clocks and jewellery</t>
  </si>
  <si>
    <t>This class includes:
- repair of watches, clocks and their parts such as watch cases and housings of all materials; movements, chronometers, etc.
- repair of jewellery</t>
  </si>
  <si>
    <t>This class excludes:
- repair of time clocks, time/date stamps, time locks and similar time recording devices, see 33.13</t>
  </si>
  <si>
    <t>Repair of other personal and household goods</t>
  </si>
  <si>
    <t>This class includes repair of personal and household goods:
- repair of bicycles
- repair and alteration of clothing
- repair of sporting goods (except sporting guns) and camping equipment
- repair of books
- repair of musical instruments (except organs and historical musical instruments)
- repair of toys and similar articles
- repair of other personal and household goods
- piano-tuning</t>
  </si>
  <si>
    <t>This class excludes:
- industrial engraving of metals, see 25.61
- repair of sporting and recreational guns, 33.11
- repair of hand held power tools, see 33.12
- restoring of organs and other historical musical instruments, see 33.19</t>
  </si>
  <si>
    <t>Other personal service activities</t>
  </si>
  <si>
    <t>This division includes all service activities not mentioned elsewhere in the classification. Notably it includes types of services such as washing and (dry-)cleaning of textiles and fur products, hairdressing and other beauty treatment, funeral and related activities.</t>
  </si>
  <si>
    <t>Washing and (dry-)cleaning of textile and fur products</t>
  </si>
  <si>
    <t>This class includes:
- laundering and dry cleaning, pressing etc., of all kinds of clothing (including fur) and textiles, provided by mechanical equipment, by hand or by self-service coin-operated machines, whether for the general public or for industrial or commercial clients
- laundry collection and delivery
- carpet and rug shampooing and drapery and curtain cleaning, whether on clients' premises or not
- provision of linens, work uniforms and related items by laundries
- diaper supply services</t>
  </si>
  <si>
    <t>This class excludes:
- rental of clothing other than work uniforms, even if cleaning of these goods is an integral part of the activity, see 77.29
- repair and alteration of clothing, see 95.29</t>
  </si>
  <si>
    <t>Hairdressing and other beauty treatment</t>
  </si>
  <si>
    <t>This class includes:
- hair washing, trimming and cutting, setting, dyeing, tinting, waving, straightening and similar activities for men and women
- shaving and beard trimming
- facial massage, manicure and pedicure, make-up etc.</t>
  </si>
  <si>
    <t>This class excludes:
- manufacture of wigs, see 32.99</t>
  </si>
  <si>
    <t>Funeral and related activities</t>
  </si>
  <si>
    <t>This class includes:
- burial and incineration of human or animal corpses and related activities:
  . preparing the dead for burial or cremation and embalming and morticians' services
  . providing burial or cremation services
  . rental of equipped space in funeral parlours
- rental or sale of graves
- maintenance of graves and mausoleums</t>
  </si>
  <si>
    <t>This class excludes:
- cemetery gardening, see 81.30
- religious funeral service activities, see 94.91</t>
  </si>
  <si>
    <t>Physical well-being activities</t>
  </si>
  <si>
    <t>This class includes:
- activities of Turkish baths, sauna and steam baths, solariums, reducing and slendering salons, massage salons etc.</t>
  </si>
  <si>
    <t>This class excludes:
- medical massage and therapy, see 86.90
- activities of health, fitness and body-building clubs and facilities, see 93.13</t>
  </si>
  <si>
    <t>Other personal service activities n.e.c.</t>
  </si>
  <si>
    <t>This class includes:
- astrological and spiritualists' activities
- social activities such as escort services, dating services, services of marriage bureaux
- pet care services such as boarding, grooming, sitting and training pets
- genealogical organisations
- activities of tattooing and piercing studios
- shoe shiners, porters, valet car parkers etc.
- concession operation of coin-operated personal service machines (photo booths, weighing machines, machines for checking blood pressure, coin-operated lockers etc.)</t>
  </si>
  <si>
    <t>This class excludes:
- veterinary activities, see 75.00
- coin-operated gambling machines, see 92.00
- coin-operated washing machines, see 96.01</t>
  </si>
  <si>
    <t>T</t>
  </si>
  <si>
    <t>ACTIVITIES OF HOUSEHOLDS AS EMPLOYERS; UNDIFFERENTIATED GOODS- AND SERVICES-PRODUCING ACTIVITIES OF HOUSEHOLDS FOR OWN USE</t>
  </si>
  <si>
    <t>Activities of households as employers of domestic personnel</t>
  </si>
  <si>
    <t>This class includes the activities of households as employers of domestic personnel such as maids, cooks, waiters, valets, butlers, laundresses, gardeners, gatekeepers, stable-lads, chauffeurs, caretakers, governesses, babysitters, tutors, secretaries etc. 
It allows the domestic personnel employed to state the activity of their employer in censuses or studies, even though the employer is an individual. The product produced by this activity is consumed by the employing household.</t>
  </si>
  <si>
    <t>This class excludes:
- provision of services such as cooking, gardening etc. by independent service providers (companies or individuals), see according to type of service</t>
  </si>
  <si>
    <t>Undifferentiated goods- and services-producing activities of private households for own use</t>
  </si>
  <si>
    <t>This division includes the undifferentiated subsistence goods-producing and services-producing activities of households. 
Households should be classified here only if it is impossible to identify a primary activity for the subsistence activities of the household. If the household engages in market activities, it should be classified according to the primary market activity carried out.</t>
  </si>
  <si>
    <t>Undifferentiated goods-producing activities of private households for own use</t>
  </si>
  <si>
    <t>This class includes the undifferentiated subsistence goods-producing activities of households, that is to say, the activities of households that are engaged in a variety of activities that produce goods for their own subsistence. These activities include hunting and gathering, farming, the production of shelter and clothing and other goods produced by the household for its own subsistence. 
If households are also engaged in the production of marketed goods, they are classified to the appropriate goods-producing industry of NACE. If they are principally engaged in a specific goods-producing subsistence activity, they are classified to the appropriate goods-producing industry of NACE.</t>
  </si>
  <si>
    <t>Undifferentiated service-producing activities of private households for own use</t>
  </si>
  <si>
    <t>This class includes the undifferentiated subsistence services-producing activities of households. These activities include cooking, teaching, caring for household members and other services produced by the household for its own subsistence. 
If households are also engaged in the production of multiple goods for subsistence purposes, they are classified to the undifferentiated goods-producing subsistence activities of households.</t>
  </si>
  <si>
    <t>U</t>
  </si>
  <si>
    <t>ACTIVITIES OF EXTRATERRITORIAL ORGANISATIONS AND BODIES</t>
  </si>
  <si>
    <t>Activities of extraterritorial organisations and bodies</t>
  </si>
  <si>
    <t>This class includes:
- activities of international organisations such as the United Nations and the specialised agencies of the United Nations system, regional bodies etc., the International Monetary Fund, the World Bank, the World Customs Organisation, the Organisation for Economic Co-operation and Development, the organisation of Petroleum Exporting Countries, the European Communities, the European Free Trade Association etc.</t>
  </si>
  <si>
    <t>This class also includes:
- activities of diplomatic and consular missions when being determined by the country of their location rather than by the country they represent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</si>
</sst>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415"/>
  <sheetViews>
    <sheetView tabSelected="1" workbookViewId="0">
      <selection activeCell="A564" sqref="A1:XFD564"/>
    </sheetView>
  </sheetViews>
  <sheetFormatPr defaultRowHeight="14.4" x14ac:dyDescent="0.3"/>
  <cols>
    <col min="1" max="1" width="7" bestFit="1" customWidth="1"/>
    <col min="2" max="2" width="5.6640625" bestFit="1" customWidth="1"/>
    <col min="3" max="3" width="6" bestFit="1" customWidth="1"/>
    <col min="4" max="4" width="6.88671875" bestFit="1" customWidth="1"/>
    <col min="5" max="5" width="131.33203125" bestFit="1" customWidth="1"/>
    <col min="6" max="7" width="255.6640625" bestFit="1" customWidth="1"/>
    <col min="8" max="8" width="66.44140625" bestFit="1" customWidth="1"/>
    <col min="9" max="9" width="255.6640625" bestFit="1" customWidth="1"/>
    <col min="10" max="10" width="22.33203125" bestFit="1" customWidth="1"/>
  </cols>
  <sheetData>
    <row r="1" spans="1:10" ht="28.8" x14ac:dyDescent="0.3">
      <c r="A1">
        <v>399062</v>
      </c>
      <c r="B1">
        <v>4</v>
      </c>
      <c r="C1">
        <v>47.23</v>
      </c>
      <c r="D1">
        <v>47.2</v>
      </c>
      <c r="E1" t="s">
        <v>0</v>
      </c>
      <c r="F1" s="1" t="s">
        <v>1</v>
      </c>
      <c r="J1">
        <v>4721</v>
      </c>
    </row>
    <row r="2" spans="1:10" x14ac:dyDescent="0.3">
      <c r="A2">
        <v>399063</v>
      </c>
      <c r="B2">
        <v>4</v>
      </c>
      <c r="C2">
        <v>47.24</v>
      </c>
      <c r="D2">
        <v>47.2</v>
      </c>
      <c r="E2" t="s">
        <v>2</v>
      </c>
      <c r="H2" t="e">
        <f>- Baking of pre-baked bread and rolls</f>
        <v>#NAME?</v>
      </c>
      <c r="J2">
        <v>4721</v>
      </c>
    </row>
    <row r="3" spans="1:10" ht="57.6" x14ac:dyDescent="0.3">
      <c r="A3">
        <v>399064</v>
      </c>
      <c r="B3">
        <v>4</v>
      </c>
      <c r="C3">
        <v>47.25</v>
      </c>
      <c r="D3">
        <v>47.2</v>
      </c>
      <c r="E3" t="s">
        <v>3</v>
      </c>
      <c r="F3" s="1" t="s">
        <v>4</v>
      </c>
      <c r="J3">
        <v>4722</v>
      </c>
    </row>
    <row r="4" spans="1:10" ht="43.2" x14ac:dyDescent="0.3">
      <c r="A4">
        <v>399065</v>
      </c>
      <c r="B4">
        <v>4</v>
      </c>
      <c r="C4">
        <v>47.26</v>
      </c>
      <c r="D4">
        <v>47.2</v>
      </c>
      <c r="E4" t="s">
        <v>5</v>
      </c>
      <c r="F4" s="1" t="s">
        <v>6</v>
      </c>
      <c r="J4">
        <v>4723</v>
      </c>
    </row>
    <row r="5" spans="1:10" ht="43.2" x14ac:dyDescent="0.3">
      <c r="A5">
        <v>399066</v>
      </c>
      <c r="B5">
        <v>4</v>
      </c>
      <c r="C5">
        <v>47.29</v>
      </c>
      <c r="D5">
        <v>47.2</v>
      </c>
      <c r="E5" t="s">
        <v>7</v>
      </c>
      <c r="F5" s="1" t="s">
        <v>8</v>
      </c>
      <c r="J5">
        <v>4721</v>
      </c>
    </row>
    <row r="6" spans="1:10" x14ac:dyDescent="0.3">
      <c r="A6">
        <v>399067</v>
      </c>
      <c r="B6">
        <v>3</v>
      </c>
      <c r="C6">
        <v>47.3</v>
      </c>
      <c r="D6">
        <v>47</v>
      </c>
      <c r="E6" t="s">
        <v>9</v>
      </c>
      <c r="J6">
        <v>473</v>
      </c>
    </row>
    <row r="7" spans="1:10" ht="43.2" x14ac:dyDescent="0.3">
      <c r="A7">
        <v>399068</v>
      </c>
      <c r="B7">
        <v>4</v>
      </c>
      <c r="C7">
        <v>47.3</v>
      </c>
      <c r="D7">
        <v>47.3</v>
      </c>
      <c r="E7" t="s">
        <v>9</v>
      </c>
      <c r="F7" s="1" t="s">
        <v>10</v>
      </c>
      <c r="G7" s="1" t="s">
        <v>11</v>
      </c>
      <c r="I7" s="1" t="s">
        <v>12</v>
      </c>
      <c r="J7">
        <v>4730</v>
      </c>
    </row>
    <row r="8" spans="1:10" x14ac:dyDescent="0.3">
      <c r="A8">
        <v>399069</v>
      </c>
      <c r="B8">
        <v>3</v>
      </c>
      <c r="C8">
        <v>47.4</v>
      </c>
      <c r="D8">
        <v>47</v>
      </c>
      <c r="E8" t="s">
        <v>13</v>
      </c>
      <c r="F8" t="s">
        <v>14</v>
      </c>
      <c r="J8">
        <v>474</v>
      </c>
    </row>
    <row r="9" spans="1:10" ht="72" x14ac:dyDescent="0.3">
      <c r="A9">
        <v>399070</v>
      </c>
      <c r="B9">
        <v>4</v>
      </c>
      <c r="C9">
        <v>47.41</v>
      </c>
      <c r="D9">
        <v>47.4</v>
      </c>
      <c r="E9" t="s">
        <v>15</v>
      </c>
      <c r="F9" s="1" t="s">
        <v>16</v>
      </c>
      <c r="I9" s="1" t="s">
        <v>17</v>
      </c>
      <c r="J9">
        <v>4741</v>
      </c>
    </row>
    <row r="10" spans="1:10" x14ac:dyDescent="0.3">
      <c r="A10">
        <v>399071</v>
      </c>
      <c r="B10">
        <v>4</v>
      </c>
      <c r="C10">
        <v>47.42</v>
      </c>
      <c r="D10">
        <v>47.4</v>
      </c>
      <c r="E10" t="s">
        <v>18</v>
      </c>
      <c r="J10">
        <v>4741</v>
      </c>
    </row>
    <row r="11" spans="1:10" ht="57.6" x14ac:dyDescent="0.3">
      <c r="A11">
        <v>399072</v>
      </c>
      <c r="B11">
        <v>4</v>
      </c>
      <c r="C11">
        <v>47.43</v>
      </c>
      <c r="D11">
        <v>47.4</v>
      </c>
      <c r="E11" t="s">
        <v>19</v>
      </c>
      <c r="F11" s="1" t="s">
        <v>20</v>
      </c>
      <c r="J11">
        <v>4742</v>
      </c>
    </row>
    <row r="12" spans="1:10" x14ac:dyDescent="0.3">
      <c r="A12">
        <v>399073</v>
      </c>
      <c r="B12">
        <v>3</v>
      </c>
      <c r="C12">
        <v>47.5</v>
      </c>
      <c r="D12">
        <v>47</v>
      </c>
      <c r="E12" t="s">
        <v>21</v>
      </c>
      <c r="F12" t="s">
        <v>22</v>
      </c>
      <c r="J12">
        <v>475</v>
      </c>
    </row>
    <row r="13" spans="1:10" ht="86.4" x14ac:dyDescent="0.3">
      <c r="A13">
        <v>399074</v>
      </c>
      <c r="B13">
        <v>4</v>
      </c>
      <c r="C13">
        <v>47.51</v>
      </c>
      <c r="D13">
        <v>47.5</v>
      </c>
      <c r="E13" t="s">
        <v>23</v>
      </c>
      <c r="F13" s="1" t="s">
        <v>24</v>
      </c>
      <c r="I13" s="1" t="s">
        <v>25</v>
      </c>
      <c r="J13">
        <v>4751</v>
      </c>
    </row>
    <row r="14" spans="1:10" ht="86.4" x14ac:dyDescent="0.3">
      <c r="A14">
        <v>399075</v>
      </c>
      <c r="B14">
        <v>4</v>
      </c>
      <c r="C14">
        <v>47.52</v>
      </c>
      <c r="D14">
        <v>47.5</v>
      </c>
      <c r="E14" t="s">
        <v>26</v>
      </c>
      <c r="F14" s="1" t="s">
        <v>27</v>
      </c>
      <c r="G14" s="1" t="s">
        <v>28</v>
      </c>
      <c r="H14" t="e">
        <f>- Retail sale of non-electric solar collectors</f>
        <v>#NAME?</v>
      </c>
      <c r="J14">
        <v>4752</v>
      </c>
    </row>
    <row r="15" spans="1:10" ht="57.6" x14ac:dyDescent="0.3">
      <c r="A15">
        <v>399076</v>
      </c>
      <c r="B15">
        <v>4</v>
      </c>
      <c r="C15">
        <v>47.53</v>
      </c>
      <c r="D15">
        <v>47.5</v>
      </c>
      <c r="E15" t="s">
        <v>29</v>
      </c>
      <c r="F15" s="1" t="s">
        <v>30</v>
      </c>
      <c r="I15" s="1" t="s">
        <v>31</v>
      </c>
      <c r="J15">
        <v>4753</v>
      </c>
    </row>
    <row r="16" spans="1:10" ht="28.8" x14ac:dyDescent="0.3">
      <c r="A16">
        <v>399077</v>
      </c>
      <c r="B16">
        <v>4</v>
      </c>
      <c r="C16">
        <v>47.54</v>
      </c>
      <c r="D16">
        <v>47.5</v>
      </c>
      <c r="E16" t="s">
        <v>32</v>
      </c>
      <c r="I16" s="1" t="s">
        <v>33</v>
      </c>
      <c r="J16">
        <v>4759</v>
      </c>
    </row>
    <row r="17" spans="1:10" ht="129.6" x14ac:dyDescent="0.3">
      <c r="A17">
        <v>399078</v>
      </c>
      <c r="B17">
        <v>4</v>
      </c>
      <c r="C17">
        <v>47.59</v>
      </c>
      <c r="D17">
        <v>47.5</v>
      </c>
      <c r="E17" t="s">
        <v>34</v>
      </c>
      <c r="F17" s="1" t="s">
        <v>35</v>
      </c>
      <c r="I17" s="1" t="s">
        <v>36</v>
      </c>
      <c r="J17">
        <v>4759</v>
      </c>
    </row>
    <row r="18" spans="1:10" x14ac:dyDescent="0.3">
      <c r="A18">
        <v>399079</v>
      </c>
      <c r="B18">
        <v>3</v>
      </c>
      <c r="C18">
        <v>47.6</v>
      </c>
      <c r="D18">
        <v>47</v>
      </c>
      <c r="E18" t="s">
        <v>37</v>
      </c>
      <c r="F18" t="s">
        <v>38</v>
      </c>
      <c r="J18">
        <v>476</v>
      </c>
    </row>
    <row r="19" spans="1:10" ht="28.8" x14ac:dyDescent="0.3">
      <c r="A19">
        <v>399080</v>
      </c>
      <c r="B19">
        <v>4</v>
      </c>
      <c r="C19">
        <v>47.61</v>
      </c>
      <c r="D19">
        <v>47.6</v>
      </c>
      <c r="E19" t="s">
        <v>39</v>
      </c>
      <c r="F19" s="1" t="s">
        <v>40</v>
      </c>
      <c r="I19" s="1" t="s">
        <v>41</v>
      </c>
      <c r="J19">
        <v>4761</v>
      </c>
    </row>
    <row r="20" spans="1:10" ht="28.8" x14ac:dyDescent="0.3">
      <c r="A20">
        <v>399081</v>
      </c>
      <c r="B20">
        <v>4</v>
      </c>
      <c r="C20">
        <v>47.62</v>
      </c>
      <c r="D20">
        <v>47.6</v>
      </c>
      <c r="E20" t="s">
        <v>42</v>
      </c>
      <c r="G20" s="1" t="s">
        <v>43</v>
      </c>
      <c r="J20">
        <v>4761</v>
      </c>
    </row>
    <row r="21" spans="1:10" ht="43.2" x14ac:dyDescent="0.3">
      <c r="A21">
        <v>399082</v>
      </c>
      <c r="B21">
        <v>4</v>
      </c>
      <c r="C21">
        <v>47.63</v>
      </c>
      <c r="D21">
        <v>47.6</v>
      </c>
      <c r="E21" t="s">
        <v>44</v>
      </c>
      <c r="F21" s="1" t="s">
        <v>45</v>
      </c>
      <c r="G21" s="1" t="s">
        <v>46</v>
      </c>
      <c r="J21">
        <v>4762</v>
      </c>
    </row>
    <row r="22" spans="1:10" ht="28.8" x14ac:dyDescent="0.3">
      <c r="A22">
        <v>399083</v>
      </c>
      <c r="B22">
        <v>4</v>
      </c>
      <c r="C22">
        <v>47.64</v>
      </c>
      <c r="D22">
        <v>47.6</v>
      </c>
      <c r="E22" t="s">
        <v>47</v>
      </c>
      <c r="F22" s="1" t="s">
        <v>48</v>
      </c>
      <c r="J22">
        <v>4763</v>
      </c>
    </row>
    <row r="23" spans="1:10" ht="43.2" x14ac:dyDescent="0.3">
      <c r="A23">
        <v>399084</v>
      </c>
      <c r="B23">
        <v>4</v>
      </c>
      <c r="C23">
        <v>47.65</v>
      </c>
      <c r="D23">
        <v>47.6</v>
      </c>
      <c r="E23" t="s">
        <v>49</v>
      </c>
      <c r="F23" s="1" t="s">
        <v>50</v>
      </c>
      <c r="I23" s="1" t="s">
        <v>51</v>
      </c>
      <c r="J23">
        <v>4764</v>
      </c>
    </row>
    <row r="24" spans="1:10" x14ac:dyDescent="0.3">
      <c r="A24">
        <v>399085</v>
      </c>
      <c r="B24">
        <v>3</v>
      </c>
      <c r="C24">
        <v>47.7</v>
      </c>
      <c r="D24">
        <v>47</v>
      </c>
      <c r="E24" t="s">
        <v>52</v>
      </c>
      <c r="F24" t="s">
        <v>53</v>
      </c>
      <c r="G24" t="s">
        <v>54</v>
      </c>
      <c r="J24">
        <v>477</v>
      </c>
    </row>
    <row r="25" spans="1:10" ht="57.6" x14ac:dyDescent="0.3">
      <c r="A25">
        <v>399086</v>
      </c>
      <c r="B25">
        <v>4</v>
      </c>
      <c r="C25">
        <v>47.71</v>
      </c>
      <c r="D25">
        <v>47.7</v>
      </c>
      <c r="E25" t="s">
        <v>55</v>
      </c>
      <c r="F25" s="1" t="s">
        <v>56</v>
      </c>
      <c r="I25" s="1" t="s">
        <v>57</v>
      </c>
      <c r="J25">
        <v>4771</v>
      </c>
    </row>
    <row r="26" spans="1:10" ht="57.6" x14ac:dyDescent="0.3">
      <c r="A26">
        <v>399087</v>
      </c>
      <c r="B26">
        <v>4</v>
      </c>
      <c r="C26">
        <v>47.72</v>
      </c>
      <c r="D26">
        <v>47.7</v>
      </c>
      <c r="E26" t="s">
        <v>58</v>
      </c>
      <c r="F26" s="1" t="s">
        <v>59</v>
      </c>
      <c r="I26" s="1" t="s">
        <v>60</v>
      </c>
      <c r="J26">
        <v>4771</v>
      </c>
    </row>
    <row r="27" spans="1:10" ht="28.8" x14ac:dyDescent="0.3">
      <c r="A27">
        <v>399088</v>
      </c>
      <c r="B27">
        <v>4</v>
      </c>
      <c r="C27">
        <v>47.73</v>
      </c>
      <c r="D27">
        <v>47.7</v>
      </c>
      <c r="E27" t="s">
        <v>61</v>
      </c>
      <c r="F27" s="1" t="s">
        <v>62</v>
      </c>
      <c r="J27">
        <v>4772</v>
      </c>
    </row>
    <row r="28" spans="1:10" x14ac:dyDescent="0.3">
      <c r="A28">
        <v>399089</v>
      </c>
      <c r="B28">
        <v>4</v>
      </c>
      <c r="C28">
        <v>47.74</v>
      </c>
      <c r="D28">
        <v>47.7</v>
      </c>
      <c r="E28" t="s">
        <v>63</v>
      </c>
      <c r="J28">
        <v>4772</v>
      </c>
    </row>
    <row r="29" spans="1:10" ht="28.8" x14ac:dyDescent="0.3">
      <c r="A29">
        <v>399090</v>
      </c>
      <c r="B29">
        <v>4</v>
      </c>
      <c r="C29">
        <v>47.75</v>
      </c>
      <c r="D29">
        <v>47.7</v>
      </c>
      <c r="E29" t="s">
        <v>64</v>
      </c>
      <c r="F29" s="1" t="s">
        <v>65</v>
      </c>
      <c r="J29">
        <v>4772</v>
      </c>
    </row>
    <row r="30" spans="1:10" x14ac:dyDescent="0.3">
      <c r="A30">
        <v>399091</v>
      </c>
      <c r="B30">
        <v>4</v>
      </c>
      <c r="C30">
        <v>47.76</v>
      </c>
      <c r="D30">
        <v>47.7</v>
      </c>
      <c r="E30" t="s">
        <v>66</v>
      </c>
      <c r="J30">
        <v>4773</v>
      </c>
    </row>
    <row r="31" spans="1:10" x14ac:dyDescent="0.3">
      <c r="A31">
        <v>399092</v>
      </c>
      <c r="B31">
        <v>4</v>
      </c>
      <c r="C31">
        <v>47.77</v>
      </c>
      <c r="D31">
        <v>47.7</v>
      </c>
      <c r="E31" t="s">
        <v>67</v>
      </c>
      <c r="J31">
        <v>4773</v>
      </c>
    </row>
    <row r="32" spans="1:10" ht="144" x14ac:dyDescent="0.3">
      <c r="A32">
        <v>399093</v>
      </c>
      <c r="B32">
        <v>4</v>
      </c>
      <c r="C32">
        <v>47.78</v>
      </c>
      <c r="D32">
        <v>47.7</v>
      </c>
      <c r="E32" t="s">
        <v>68</v>
      </c>
      <c r="F32" s="1" t="s">
        <v>69</v>
      </c>
      <c r="J32">
        <v>4773</v>
      </c>
    </row>
    <row r="33" spans="1:10" ht="72" x14ac:dyDescent="0.3">
      <c r="A33">
        <v>399094</v>
      </c>
      <c r="B33">
        <v>4</v>
      </c>
      <c r="C33">
        <v>47.79</v>
      </c>
      <c r="D33">
        <v>47.7</v>
      </c>
      <c r="E33" t="s">
        <v>70</v>
      </c>
      <c r="F33" s="1" t="s">
        <v>71</v>
      </c>
      <c r="H33" t="e">
        <f>- activities of space rental, with staff, for second-hand goods</f>
        <v>#NAME?</v>
      </c>
      <c r="I33" s="1" t="s">
        <v>72</v>
      </c>
      <c r="J33">
        <v>4774</v>
      </c>
    </row>
    <row r="34" spans="1:10" x14ac:dyDescent="0.3">
      <c r="A34">
        <v>399095</v>
      </c>
      <c r="B34">
        <v>3</v>
      </c>
      <c r="C34">
        <v>47.8</v>
      </c>
      <c r="D34">
        <v>47</v>
      </c>
      <c r="E34" t="s">
        <v>73</v>
      </c>
      <c r="F34" t="s">
        <v>74</v>
      </c>
      <c r="J34">
        <v>478</v>
      </c>
    </row>
    <row r="35" spans="1:10" ht="28.8" x14ac:dyDescent="0.3">
      <c r="A35">
        <v>399096</v>
      </c>
      <c r="B35">
        <v>4</v>
      </c>
      <c r="C35">
        <v>47.81</v>
      </c>
      <c r="D35">
        <v>47.8</v>
      </c>
      <c r="E35" t="s">
        <v>75</v>
      </c>
      <c r="I35" s="1" t="s">
        <v>76</v>
      </c>
      <c r="J35">
        <v>4781</v>
      </c>
    </row>
    <row r="36" spans="1:10" x14ac:dyDescent="0.3">
      <c r="A36">
        <v>399097</v>
      </c>
      <c r="B36">
        <v>4</v>
      </c>
      <c r="C36">
        <v>47.82</v>
      </c>
      <c r="D36">
        <v>47.8</v>
      </c>
      <c r="E36" t="s">
        <v>77</v>
      </c>
      <c r="J36">
        <v>4782</v>
      </c>
    </row>
    <row r="37" spans="1:10" ht="100.8" x14ac:dyDescent="0.3">
      <c r="A37">
        <v>399098</v>
      </c>
      <c r="B37">
        <v>4</v>
      </c>
      <c r="C37">
        <v>47.89</v>
      </c>
      <c r="D37">
        <v>47.8</v>
      </c>
      <c r="E37" t="s">
        <v>78</v>
      </c>
      <c r="F37" s="1" t="s">
        <v>79</v>
      </c>
      <c r="J37">
        <v>4789</v>
      </c>
    </row>
    <row r="38" spans="1:10" x14ac:dyDescent="0.3">
      <c r="A38">
        <v>399099</v>
      </c>
      <c r="B38">
        <v>3</v>
      </c>
      <c r="C38">
        <v>47.9</v>
      </c>
      <c r="D38">
        <v>47</v>
      </c>
      <c r="E38" t="s">
        <v>80</v>
      </c>
      <c r="F38" t="s">
        <v>81</v>
      </c>
      <c r="J38">
        <v>479</v>
      </c>
    </row>
    <row r="39" spans="1:10" ht="86.4" x14ac:dyDescent="0.3">
      <c r="A39">
        <v>399100</v>
      </c>
      <c r="B39">
        <v>4</v>
      </c>
      <c r="C39">
        <v>47.91</v>
      </c>
      <c r="D39">
        <v>47.9</v>
      </c>
      <c r="E39" t="s">
        <v>82</v>
      </c>
      <c r="F39" s="1" t="s">
        <v>83</v>
      </c>
      <c r="G39" s="1" t="s">
        <v>84</v>
      </c>
      <c r="H39" t="e">
        <f>- Recipes web site publishing, including sale of ingredients necessary and home delivery of ingredients
- Personal shopping assistance via Internet</f>
        <v>#NAME?</v>
      </c>
      <c r="I39" s="1" t="s">
        <v>85</v>
      </c>
      <c r="J39">
        <v>4791</v>
      </c>
    </row>
    <row r="40" spans="1:10" ht="100.8" x14ac:dyDescent="0.3">
      <c r="A40">
        <v>399101</v>
      </c>
      <c r="B40">
        <v>4</v>
      </c>
      <c r="C40">
        <v>47.99</v>
      </c>
      <c r="D40">
        <v>47.9</v>
      </c>
      <c r="E40" t="s">
        <v>86</v>
      </c>
      <c r="F40" s="1" t="s">
        <v>87</v>
      </c>
      <c r="H40" t="e">
        <f>- Retail sale via coffee dispensers</f>
        <v>#NAME?</v>
      </c>
      <c r="J40">
        <v>4799</v>
      </c>
    </row>
    <row r="41" spans="1:10" ht="72" x14ac:dyDescent="0.3">
      <c r="A41">
        <v>399102</v>
      </c>
      <c r="B41">
        <v>1</v>
      </c>
      <c r="C41" t="s">
        <v>88</v>
      </c>
      <c r="E41" t="s">
        <v>89</v>
      </c>
      <c r="F41" t="s">
        <v>90</v>
      </c>
      <c r="I41" s="1" t="s">
        <v>91</v>
      </c>
      <c r="J41" t="s">
        <v>88</v>
      </c>
    </row>
    <row r="42" spans="1:10" x14ac:dyDescent="0.3">
      <c r="A42">
        <v>399103</v>
      </c>
      <c r="B42">
        <v>2</v>
      </c>
      <c r="C42">
        <v>49</v>
      </c>
      <c r="D42" t="s">
        <v>88</v>
      </c>
      <c r="E42" t="s">
        <v>92</v>
      </c>
      <c r="F42" t="s">
        <v>93</v>
      </c>
      <c r="J42">
        <v>49</v>
      </c>
    </row>
    <row r="43" spans="1:10" x14ac:dyDescent="0.3">
      <c r="A43">
        <v>399104</v>
      </c>
      <c r="B43">
        <v>3</v>
      </c>
      <c r="C43">
        <v>49.1</v>
      </c>
      <c r="D43">
        <v>49</v>
      </c>
      <c r="E43" t="s">
        <v>94</v>
      </c>
      <c r="J43">
        <v>491</v>
      </c>
    </row>
    <row r="44" spans="1:10" ht="72" x14ac:dyDescent="0.3">
      <c r="A44">
        <v>399105</v>
      </c>
      <c r="B44">
        <v>4</v>
      </c>
      <c r="C44">
        <v>49.1</v>
      </c>
      <c r="D44">
        <v>49.1</v>
      </c>
      <c r="E44" t="s">
        <v>94</v>
      </c>
      <c r="F44" s="1" t="s">
        <v>95</v>
      </c>
      <c r="I44" s="1" t="s">
        <v>96</v>
      </c>
      <c r="J44">
        <v>4911</v>
      </c>
    </row>
    <row r="45" spans="1:10" x14ac:dyDescent="0.3">
      <c r="A45">
        <v>399106</v>
      </c>
      <c r="B45">
        <v>3</v>
      </c>
      <c r="C45">
        <v>49.2</v>
      </c>
      <c r="D45">
        <v>49</v>
      </c>
      <c r="E45" t="s">
        <v>97</v>
      </c>
      <c r="J45">
        <v>491</v>
      </c>
    </row>
    <row r="46" spans="1:10" ht="72" x14ac:dyDescent="0.3">
      <c r="A46">
        <v>399107</v>
      </c>
      <c r="B46">
        <v>4</v>
      </c>
      <c r="C46">
        <v>49.2</v>
      </c>
      <c r="D46">
        <v>49.2</v>
      </c>
      <c r="E46" t="s">
        <v>97</v>
      </c>
      <c r="F46" s="1" t="s">
        <v>98</v>
      </c>
      <c r="I46" s="1" t="s">
        <v>99</v>
      </c>
      <c r="J46">
        <v>4912</v>
      </c>
    </row>
    <row r="47" spans="1:10" x14ac:dyDescent="0.3">
      <c r="A47">
        <v>399108</v>
      </c>
      <c r="B47">
        <v>3</v>
      </c>
      <c r="C47">
        <v>49.3</v>
      </c>
      <c r="D47">
        <v>49</v>
      </c>
      <c r="E47" t="s">
        <v>100</v>
      </c>
      <c r="F47" t="s">
        <v>101</v>
      </c>
      <c r="J47">
        <v>492</v>
      </c>
    </row>
    <row r="48" spans="1:10" ht="43.2" x14ac:dyDescent="0.3">
      <c r="A48">
        <v>399109</v>
      </c>
      <c r="B48">
        <v>4</v>
      </c>
      <c r="C48">
        <v>49.31</v>
      </c>
      <c r="D48">
        <v>49.3</v>
      </c>
      <c r="E48" t="s">
        <v>102</v>
      </c>
      <c r="F48" s="1" t="s">
        <v>103</v>
      </c>
      <c r="G48" s="1" t="s">
        <v>104</v>
      </c>
      <c r="I48" s="1" t="s">
        <v>105</v>
      </c>
      <c r="J48">
        <v>4921</v>
      </c>
    </row>
    <row r="49" spans="1:10" ht="28.8" x14ac:dyDescent="0.3">
      <c r="A49">
        <v>399110</v>
      </c>
      <c r="B49">
        <v>4</v>
      </c>
      <c r="C49">
        <v>49.32</v>
      </c>
      <c r="D49">
        <v>49.3</v>
      </c>
      <c r="E49" t="s">
        <v>106</v>
      </c>
      <c r="G49" s="1" t="s">
        <v>107</v>
      </c>
      <c r="H49" t="e">
        <f>- Motorbike-taxi services
- taxi-radio services</f>
        <v>#NAME?</v>
      </c>
      <c r="J49">
        <v>4922</v>
      </c>
    </row>
    <row r="50" spans="1:10" ht="86.4" x14ac:dyDescent="0.3">
      <c r="A50">
        <v>399111</v>
      </c>
      <c r="B50">
        <v>4</v>
      </c>
      <c r="C50">
        <v>49.39</v>
      </c>
      <c r="D50">
        <v>49.3</v>
      </c>
      <c r="E50" t="s">
        <v>108</v>
      </c>
      <c r="F50" s="1" t="s">
        <v>109</v>
      </c>
      <c r="G50" s="1" t="s">
        <v>110</v>
      </c>
      <c r="H50" t="e">
        <f>- Bike-taxi services</f>
        <v>#NAME?</v>
      </c>
      <c r="I50" s="1" t="s">
        <v>111</v>
      </c>
      <c r="J50">
        <v>4922</v>
      </c>
    </row>
    <row r="51" spans="1:10" x14ac:dyDescent="0.3">
      <c r="A51">
        <v>399112</v>
      </c>
      <c r="B51">
        <v>3</v>
      </c>
      <c r="C51">
        <v>49.4</v>
      </c>
      <c r="D51">
        <v>49</v>
      </c>
      <c r="E51" t="s">
        <v>112</v>
      </c>
      <c r="F51" t="s">
        <v>113</v>
      </c>
      <c r="J51">
        <v>492</v>
      </c>
    </row>
    <row r="52" spans="1:10" ht="129.6" x14ac:dyDescent="0.3">
      <c r="A52">
        <v>399113</v>
      </c>
      <c r="B52">
        <v>4</v>
      </c>
      <c r="C52">
        <v>49.41</v>
      </c>
      <c r="D52">
        <v>49.4</v>
      </c>
      <c r="E52" t="s">
        <v>114</v>
      </c>
      <c r="F52" s="1" t="s">
        <v>115</v>
      </c>
      <c r="G52" s="1" t="s">
        <v>116</v>
      </c>
      <c r="H52" t="e">
        <f>- Concrete mixer lorry rental, with operator
- Road transport of letters as freight, carried out by a third party on behalf of postal or courier units
- Transportation or moving objects within an industrial plant, on a fee or contract basis</f>
        <v>#NAME?</v>
      </c>
      <c r="I52" s="1" t="s">
        <v>117</v>
      </c>
      <c r="J52">
        <v>4923</v>
      </c>
    </row>
    <row r="53" spans="1:10" ht="28.8" x14ac:dyDescent="0.3">
      <c r="A53">
        <v>399114</v>
      </c>
      <c r="B53">
        <v>4</v>
      </c>
      <c r="C53">
        <v>49.42</v>
      </c>
      <c r="D53">
        <v>49.4</v>
      </c>
      <c r="E53" t="s">
        <v>118</v>
      </c>
      <c r="F53" s="1" t="s">
        <v>119</v>
      </c>
      <c r="J53">
        <v>4923</v>
      </c>
    </row>
    <row r="54" spans="1:10" x14ac:dyDescent="0.3">
      <c r="A54">
        <v>399115</v>
      </c>
      <c r="B54">
        <v>3</v>
      </c>
      <c r="C54">
        <v>49.5</v>
      </c>
      <c r="D54">
        <v>49</v>
      </c>
      <c r="E54" t="s">
        <v>120</v>
      </c>
      <c r="J54">
        <v>493</v>
      </c>
    </row>
    <row r="55" spans="1:10" ht="43.2" x14ac:dyDescent="0.3">
      <c r="A55">
        <v>399116</v>
      </c>
      <c r="B55">
        <v>4</v>
      </c>
      <c r="C55">
        <v>49.5</v>
      </c>
      <c r="D55">
        <v>49.5</v>
      </c>
      <c r="E55" t="s">
        <v>120</v>
      </c>
      <c r="F55" s="1" t="s">
        <v>121</v>
      </c>
      <c r="G55" s="1" t="s">
        <v>122</v>
      </c>
      <c r="I55" s="1" t="s">
        <v>123</v>
      </c>
      <c r="J55">
        <v>4930</v>
      </c>
    </row>
    <row r="56" spans="1:10" x14ac:dyDescent="0.3">
      <c r="A56">
        <v>399117</v>
      </c>
      <c r="B56">
        <v>2</v>
      </c>
      <c r="C56">
        <v>50</v>
      </c>
      <c r="D56" t="s">
        <v>88</v>
      </c>
      <c r="E56" t="s">
        <v>124</v>
      </c>
      <c r="F56" t="s">
        <v>125</v>
      </c>
      <c r="I56" t="s">
        <v>126</v>
      </c>
      <c r="J56">
        <v>50</v>
      </c>
    </row>
    <row r="57" spans="1:10" x14ac:dyDescent="0.3">
      <c r="A57">
        <v>399118</v>
      </c>
      <c r="B57">
        <v>3</v>
      </c>
      <c r="C57">
        <v>50.1</v>
      </c>
      <c r="D57">
        <v>50</v>
      </c>
      <c r="E57" t="s">
        <v>127</v>
      </c>
      <c r="F57" t="s">
        <v>128</v>
      </c>
      <c r="G57" t="s">
        <v>129</v>
      </c>
      <c r="J57">
        <v>501</v>
      </c>
    </row>
    <row r="58" spans="1:10" ht="72" x14ac:dyDescent="0.3">
      <c r="A58">
        <v>399119</v>
      </c>
      <c r="B58">
        <v>4</v>
      </c>
      <c r="C58">
        <v>50.1</v>
      </c>
      <c r="D58">
        <v>50.1</v>
      </c>
      <c r="E58" t="s">
        <v>127</v>
      </c>
      <c r="F58" s="1" t="s">
        <v>130</v>
      </c>
      <c r="G58" s="1" t="s">
        <v>131</v>
      </c>
      <c r="H58" t="e">
        <f>- Ferry transport of cars with driver</f>
        <v>#NAME?</v>
      </c>
      <c r="I58" s="1" t="s">
        <v>132</v>
      </c>
      <c r="J58">
        <v>5011</v>
      </c>
    </row>
    <row r="59" spans="1:10" x14ac:dyDescent="0.3">
      <c r="A59">
        <v>399120</v>
      </c>
      <c r="B59">
        <v>3</v>
      </c>
      <c r="C59">
        <v>50.2</v>
      </c>
      <c r="D59">
        <v>50</v>
      </c>
      <c r="E59" t="s">
        <v>133</v>
      </c>
      <c r="F59" t="s">
        <v>134</v>
      </c>
      <c r="G59" t="s">
        <v>135</v>
      </c>
      <c r="J59">
        <v>501</v>
      </c>
    </row>
    <row r="60" spans="1:10" ht="72" x14ac:dyDescent="0.3">
      <c r="A60">
        <v>399121</v>
      </c>
      <c r="B60">
        <v>4</v>
      </c>
      <c r="C60">
        <v>50.2</v>
      </c>
      <c r="D60">
        <v>50.2</v>
      </c>
      <c r="E60" t="s">
        <v>133</v>
      </c>
      <c r="F60" s="1" t="s">
        <v>136</v>
      </c>
      <c r="G60" s="1" t="s">
        <v>137</v>
      </c>
      <c r="H60" t="e">
        <f>- Ferry transport of cars without driver</f>
        <v>#NAME?</v>
      </c>
      <c r="I60" s="1" t="s">
        <v>138</v>
      </c>
      <c r="J60">
        <v>5012</v>
      </c>
    </row>
    <row r="61" spans="1:10" x14ac:dyDescent="0.3">
      <c r="A61">
        <v>399122</v>
      </c>
      <c r="B61">
        <v>3</v>
      </c>
      <c r="C61">
        <v>50.3</v>
      </c>
      <c r="D61">
        <v>50</v>
      </c>
      <c r="E61" t="s">
        <v>139</v>
      </c>
      <c r="F61" t="s">
        <v>140</v>
      </c>
      <c r="J61">
        <v>502</v>
      </c>
    </row>
    <row r="62" spans="1:10" ht="28.8" x14ac:dyDescent="0.3">
      <c r="A62">
        <v>399123</v>
      </c>
      <c r="B62">
        <v>4</v>
      </c>
      <c r="C62">
        <v>50.3</v>
      </c>
      <c r="D62">
        <v>50.3</v>
      </c>
      <c r="E62" t="s">
        <v>139</v>
      </c>
      <c r="F62" s="1" t="s">
        <v>141</v>
      </c>
      <c r="G62" s="1" t="s">
        <v>142</v>
      </c>
      <c r="I62" s="1" t="s">
        <v>143</v>
      </c>
      <c r="J62">
        <v>5021</v>
      </c>
    </row>
    <row r="63" spans="1:10" x14ac:dyDescent="0.3">
      <c r="A63">
        <v>399124</v>
      </c>
      <c r="B63">
        <v>3</v>
      </c>
      <c r="C63">
        <v>50.4</v>
      </c>
      <c r="D63">
        <v>50</v>
      </c>
      <c r="E63" t="s">
        <v>144</v>
      </c>
      <c r="F63" t="s">
        <v>145</v>
      </c>
      <c r="J63">
        <v>502</v>
      </c>
    </row>
    <row r="64" spans="1:10" ht="43.2" x14ac:dyDescent="0.3">
      <c r="A64">
        <v>399125</v>
      </c>
      <c r="B64">
        <v>4</v>
      </c>
      <c r="C64">
        <v>50.4</v>
      </c>
      <c r="D64">
        <v>50.4</v>
      </c>
      <c r="E64" t="s">
        <v>144</v>
      </c>
      <c r="F64" s="1" t="s">
        <v>146</v>
      </c>
      <c r="G64" s="1" t="s">
        <v>147</v>
      </c>
      <c r="I64" s="1" t="s">
        <v>148</v>
      </c>
      <c r="J64">
        <v>5022</v>
      </c>
    </row>
    <row r="65" spans="1:10" ht="86.4" x14ac:dyDescent="0.3">
      <c r="A65">
        <v>399126</v>
      </c>
      <c r="B65">
        <v>2</v>
      </c>
      <c r="C65">
        <v>51</v>
      </c>
      <c r="D65" t="s">
        <v>88</v>
      </c>
      <c r="E65" t="s">
        <v>149</v>
      </c>
      <c r="F65" t="s">
        <v>150</v>
      </c>
      <c r="I65" s="1" t="s">
        <v>151</v>
      </c>
      <c r="J65">
        <v>51</v>
      </c>
    </row>
    <row r="66" spans="1:10" x14ac:dyDescent="0.3">
      <c r="A66">
        <v>399127</v>
      </c>
      <c r="B66">
        <v>3</v>
      </c>
      <c r="C66">
        <v>51.1</v>
      </c>
      <c r="D66">
        <v>51</v>
      </c>
      <c r="E66" t="s">
        <v>152</v>
      </c>
      <c r="J66">
        <v>511</v>
      </c>
    </row>
    <row r="67" spans="1:10" ht="57.6" x14ac:dyDescent="0.3">
      <c r="A67">
        <v>399128</v>
      </c>
      <c r="B67">
        <v>4</v>
      </c>
      <c r="C67">
        <v>51.1</v>
      </c>
      <c r="D67">
        <v>51.1</v>
      </c>
      <c r="E67" t="s">
        <v>152</v>
      </c>
      <c r="F67" s="1" t="s">
        <v>153</v>
      </c>
      <c r="G67" s="1" t="s">
        <v>154</v>
      </c>
      <c r="I67" s="1" t="s">
        <v>155</v>
      </c>
      <c r="J67">
        <v>5110</v>
      </c>
    </row>
    <row r="68" spans="1:10" x14ac:dyDescent="0.3">
      <c r="A68">
        <v>399129</v>
      </c>
      <c r="B68">
        <v>3</v>
      </c>
      <c r="C68">
        <v>51.2</v>
      </c>
      <c r="D68">
        <v>51</v>
      </c>
      <c r="E68" t="s">
        <v>156</v>
      </c>
      <c r="J68">
        <v>512</v>
      </c>
    </row>
    <row r="69" spans="1:10" ht="43.2" x14ac:dyDescent="0.3">
      <c r="A69">
        <v>399130</v>
      </c>
      <c r="B69">
        <v>4</v>
      </c>
      <c r="C69">
        <v>51.21</v>
      </c>
      <c r="D69">
        <v>51.2</v>
      </c>
      <c r="E69" t="s">
        <v>157</v>
      </c>
      <c r="F69" s="1" t="s">
        <v>158</v>
      </c>
      <c r="G69" s="1" t="s">
        <v>159</v>
      </c>
      <c r="J69">
        <v>5120</v>
      </c>
    </row>
    <row r="70" spans="1:10" ht="43.2" x14ac:dyDescent="0.3">
      <c r="A70">
        <v>399131</v>
      </c>
      <c r="B70">
        <v>4</v>
      </c>
      <c r="C70">
        <v>51.22</v>
      </c>
      <c r="D70">
        <v>51.2</v>
      </c>
      <c r="E70" t="s">
        <v>160</v>
      </c>
      <c r="F70" s="1" t="s">
        <v>161</v>
      </c>
      <c r="J70">
        <v>5120</v>
      </c>
    </row>
    <row r="71" spans="1:10" x14ac:dyDescent="0.3">
      <c r="A71">
        <v>399132</v>
      </c>
      <c r="B71">
        <v>2</v>
      </c>
      <c r="C71">
        <v>52</v>
      </c>
      <c r="D71" t="s">
        <v>88</v>
      </c>
      <c r="E71" t="s">
        <v>162</v>
      </c>
      <c r="F71" t="s">
        <v>163</v>
      </c>
      <c r="J71">
        <v>52</v>
      </c>
    </row>
    <row r="72" spans="1:10" x14ac:dyDescent="0.3">
      <c r="A72">
        <v>399133</v>
      </c>
      <c r="B72">
        <v>3</v>
      </c>
      <c r="C72">
        <v>52.1</v>
      </c>
      <c r="D72">
        <v>52</v>
      </c>
      <c r="E72" t="s">
        <v>164</v>
      </c>
      <c r="J72">
        <v>521</v>
      </c>
    </row>
    <row r="73" spans="1:10" ht="57.6" x14ac:dyDescent="0.3">
      <c r="A73">
        <v>399134</v>
      </c>
      <c r="B73">
        <v>4</v>
      </c>
      <c r="C73">
        <v>52.1</v>
      </c>
      <c r="D73">
        <v>52.1</v>
      </c>
      <c r="E73" t="s">
        <v>164</v>
      </c>
      <c r="F73" s="1" t="s">
        <v>165</v>
      </c>
      <c r="G73" s="1" t="s">
        <v>166</v>
      </c>
      <c r="H73" t="e">
        <f>- Digitalisation and storage of files and documents</f>
        <v>#NAME?</v>
      </c>
      <c r="I73" s="1" t="s">
        <v>167</v>
      </c>
      <c r="J73">
        <v>5210</v>
      </c>
    </row>
    <row r="74" spans="1:10" x14ac:dyDescent="0.3">
      <c r="A74">
        <v>399135</v>
      </c>
      <c r="B74">
        <v>3</v>
      </c>
      <c r="C74">
        <v>52.2</v>
      </c>
      <c r="D74">
        <v>52</v>
      </c>
      <c r="E74" t="s">
        <v>168</v>
      </c>
      <c r="F74" t="s">
        <v>169</v>
      </c>
      <c r="J74">
        <v>522</v>
      </c>
    </row>
    <row r="75" spans="1:10" ht="100.8" x14ac:dyDescent="0.3">
      <c r="A75">
        <v>399136</v>
      </c>
      <c r="B75">
        <v>4</v>
      </c>
      <c r="C75">
        <v>52.21</v>
      </c>
      <c r="D75">
        <v>52.2</v>
      </c>
      <c r="E75" t="s">
        <v>170</v>
      </c>
      <c r="F75" s="1" t="s">
        <v>171</v>
      </c>
      <c r="G75" s="1" t="s">
        <v>172</v>
      </c>
      <c r="H75" t="e">
        <f>- Liquefaction of gas and regasification for transport purposes
- Ensuring safety at railroad infrastructure maintenance work
- Collection of fees for public transport
- natural gas Liquefaction on own account</f>
        <v>#NAME?</v>
      </c>
      <c r="I75" s="1" t="s">
        <v>173</v>
      </c>
      <c r="J75">
        <v>5221</v>
      </c>
    </row>
    <row r="76" spans="1:10" ht="100.8" x14ac:dyDescent="0.3">
      <c r="A76">
        <v>399137</v>
      </c>
      <c r="B76">
        <v>4</v>
      </c>
      <c r="C76">
        <v>52.22</v>
      </c>
      <c r="D76">
        <v>52.2</v>
      </c>
      <c r="E76" t="s">
        <v>174</v>
      </c>
      <c r="F76" s="1" t="s">
        <v>175</v>
      </c>
      <c r="H76" t="e">
        <f>- Ensuring safety at waterway infrastructure maintenance work</f>
        <v>#NAME?</v>
      </c>
      <c r="I76" s="1" t="s">
        <v>176</v>
      </c>
      <c r="J76">
        <v>5222</v>
      </c>
    </row>
    <row r="77" spans="1:10" ht="72" x14ac:dyDescent="0.3">
      <c r="A77">
        <v>399138</v>
      </c>
      <c r="B77">
        <v>4</v>
      </c>
      <c r="C77">
        <v>52.23</v>
      </c>
      <c r="D77">
        <v>52.2</v>
      </c>
      <c r="E77" t="s">
        <v>177</v>
      </c>
      <c r="F77" s="1" t="s">
        <v>178</v>
      </c>
      <c r="G77" s="1" t="s">
        <v>179</v>
      </c>
      <c r="H77" t="e">
        <f>- Ensuring safety at airfield infrastructure maintenance work
- Air traffic control activities, at airports and for long distances</f>
        <v>#NAME?</v>
      </c>
      <c r="I77" s="1" t="s">
        <v>180</v>
      </c>
      <c r="J77">
        <v>5223</v>
      </c>
    </row>
    <row r="78" spans="1:10" ht="57.6" x14ac:dyDescent="0.3">
      <c r="A78">
        <v>399139</v>
      </c>
      <c r="B78">
        <v>4</v>
      </c>
      <c r="C78">
        <v>52.24</v>
      </c>
      <c r="D78">
        <v>52.2</v>
      </c>
      <c r="E78" t="s">
        <v>181</v>
      </c>
      <c r="F78" s="1" t="s">
        <v>182</v>
      </c>
      <c r="H78" t="e">
        <f>- rental and leasing of transtainers or luffing cranes, with operator, for cargo handling activities</f>
        <v>#NAME?</v>
      </c>
      <c r="I78" s="1" t="s">
        <v>183</v>
      </c>
      <c r="J78">
        <v>5224</v>
      </c>
    </row>
    <row r="79" spans="1:10" ht="129.6" x14ac:dyDescent="0.3">
      <c r="A79">
        <v>399140</v>
      </c>
      <c r="B79">
        <v>4</v>
      </c>
      <c r="C79">
        <v>52.29</v>
      </c>
      <c r="D79">
        <v>52.2</v>
      </c>
      <c r="E79" t="s">
        <v>184</v>
      </c>
      <c r="F79" s="1" t="s">
        <v>185</v>
      </c>
      <c r="I79" s="1" t="s">
        <v>186</v>
      </c>
      <c r="J79">
        <v>5229</v>
      </c>
    </row>
    <row r="80" spans="1:10" x14ac:dyDescent="0.3">
      <c r="A80">
        <v>399141</v>
      </c>
      <c r="B80">
        <v>2</v>
      </c>
      <c r="C80">
        <v>53</v>
      </c>
      <c r="D80" t="s">
        <v>88</v>
      </c>
      <c r="E80" t="s">
        <v>187</v>
      </c>
      <c r="F80" t="s">
        <v>188</v>
      </c>
      <c r="G80" t="s">
        <v>189</v>
      </c>
      <c r="J80">
        <v>53</v>
      </c>
    </row>
    <row r="81" spans="1:10" x14ac:dyDescent="0.3">
      <c r="A81">
        <v>399142</v>
      </c>
      <c r="B81">
        <v>3</v>
      </c>
      <c r="C81">
        <v>53.1</v>
      </c>
      <c r="D81">
        <v>53</v>
      </c>
      <c r="E81" t="s">
        <v>190</v>
      </c>
      <c r="J81">
        <v>531</v>
      </c>
    </row>
    <row r="82" spans="1:10" ht="100.8" x14ac:dyDescent="0.3">
      <c r="A82">
        <v>399143</v>
      </c>
      <c r="B82">
        <v>4</v>
      </c>
      <c r="C82">
        <v>53.1</v>
      </c>
      <c r="D82">
        <v>53.1</v>
      </c>
      <c r="E82" t="s">
        <v>190</v>
      </c>
      <c r="F82" s="1" t="s">
        <v>191</v>
      </c>
      <c r="I82" s="1" t="s">
        <v>192</v>
      </c>
      <c r="J82">
        <v>5310</v>
      </c>
    </row>
    <row r="83" spans="1:10" x14ac:dyDescent="0.3">
      <c r="A83">
        <v>399144</v>
      </c>
      <c r="B83">
        <v>3</v>
      </c>
      <c r="C83">
        <v>53.2</v>
      </c>
      <c r="D83">
        <v>53</v>
      </c>
      <c r="E83" t="s">
        <v>193</v>
      </c>
      <c r="J83">
        <v>532</v>
      </c>
    </row>
    <row r="84" spans="1:10" ht="43.2" x14ac:dyDescent="0.3">
      <c r="A84">
        <v>399145</v>
      </c>
      <c r="B84">
        <v>4</v>
      </c>
      <c r="C84">
        <v>53.2</v>
      </c>
      <c r="D84">
        <v>53.2</v>
      </c>
      <c r="E84" t="s">
        <v>193</v>
      </c>
      <c r="F84" s="1" t="s">
        <v>194</v>
      </c>
      <c r="G84" s="1" t="s">
        <v>195</v>
      </c>
      <c r="I84" s="1" t="s">
        <v>196</v>
      </c>
      <c r="J84">
        <v>5320</v>
      </c>
    </row>
    <row r="85" spans="1:10" x14ac:dyDescent="0.3">
      <c r="A85">
        <v>399146</v>
      </c>
      <c r="B85">
        <v>1</v>
      </c>
      <c r="C85" t="s">
        <v>197</v>
      </c>
      <c r="E85" t="s">
        <v>198</v>
      </c>
      <c r="F85" t="s">
        <v>199</v>
      </c>
      <c r="I85" t="s">
        <v>200</v>
      </c>
      <c r="J85" t="s">
        <v>197</v>
      </c>
    </row>
    <row r="86" spans="1:10" x14ac:dyDescent="0.3">
      <c r="A86">
        <v>399147</v>
      </c>
      <c r="B86">
        <v>2</v>
      </c>
      <c r="C86">
        <v>55</v>
      </c>
      <c r="D86" t="s">
        <v>197</v>
      </c>
      <c r="E86" t="s">
        <v>201</v>
      </c>
      <c r="F86" t="s">
        <v>202</v>
      </c>
      <c r="G86" t="s">
        <v>203</v>
      </c>
      <c r="I86" t="s">
        <v>204</v>
      </c>
      <c r="J86">
        <v>55</v>
      </c>
    </row>
    <row r="87" spans="1:10" x14ac:dyDescent="0.3">
      <c r="A87">
        <v>399148</v>
      </c>
      <c r="B87">
        <v>3</v>
      </c>
      <c r="C87">
        <v>55.1</v>
      </c>
      <c r="D87">
        <v>55</v>
      </c>
      <c r="E87" t="s">
        <v>205</v>
      </c>
      <c r="J87">
        <v>551</v>
      </c>
    </row>
    <row r="88" spans="1:10" ht="115.2" x14ac:dyDescent="0.3">
      <c r="A88">
        <v>399149</v>
      </c>
      <c r="B88">
        <v>4</v>
      </c>
      <c r="C88">
        <v>55.1</v>
      </c>
      <c r="D88">
        <v>55.1</v>
      </c>
      <c r="E88" t="s">
        <v>205</v>
      </c>
      <c r="F88" s="1" t="s">
        <v>206</v>
      </c>
      <c r="H88" t="e">
        <f>- Bed and breakfast units, with daily room cleaning and Bed making</f>
        <v>#NAME?</v>
      </c>
      <c r="I88" s="1" t="s">
        <v>207</v>
      </c>
      <c r="J88">
        <v>5510</v>
      </c>
    </row>
    <row r="89" spans="1:10" x14ac:dyDescent="0.3">
      <c r="A89">
        <v>399150</v>
      </c>
      <c r="B89">
        <v>3</v>
      </c>
      <c r="C89">
        <v>55.2</v>
      </c>
      <c r="D89">
        <v>55</v>
      </c>
      <c r="E89" t="s">
        <v>208</v>
      </c>
      <c r="J89">
        <v>551</v>
      </c>
    </row>
    <row r="90" spans="1:10" ht="115.2" x14ac:dyDescent="0.3">
      <c r="A90">
        <v>399151</v>
      </c>
      <c r="B90">
        <v>4</v>
      </c>
      <c r="C90">
        <v>55.2</v>
      </c>
      <c r="D90">
        <v>55.2</v>
      </c>
      <c r="E90" t="s">
        <v>208</v>
      </c>
      <c r="F90" s="1" t="s">
        <v>209</v>
      </c>
      <c r="H90" t="e">
        <f>- Hotels with self-service, without daily room cleaning and Bed making
- Bed and breakfast units, without daily room cleaning and Bed making</f>
        <v>#NAME?</v>
      </c>
      <c r="I90" s="1" t="s">
        <v>210</v>
      </c>
      <c r="J90">
        <v>5510</v>
      </c>
    </row>
    <row r="91" spans="1:10" x14ac:dyDescent="0.3">
      <c r="A91">
        <v>399152</v>
      </c>
      <c r="B91">
        <v>3</v>
      </c>
      <c r="C91">
        <v>55.3</v>
      </c>
      <c r="D91">
        <v>55</v>
      </c>
      <c r="E91" t="s">
        <v>211</v>
      </c>
      <c r="J91">
        <v>552</v>
      </c>
    </row>
    <row r="92" spans="1:10" ht="43.2" x14ac:dyDescent="0.3">
      <c r="A92">
        <v>399153</v>
      </c>
      <c r="B92">
        <v>4</v>
      </c>
      <c r="C92">
        <v>55.3</v>
      </c>
      <c r="D92">
        <v>55.3</v>
      </c>
      <c r="E92" t="s">
        <v>211</v>
      </c>
      <c r="F92" s="1" t="s">
        <v>212</v>
      </c>
      <c r="G92" s="1" t="s">
        <v>213</v>
      </c>
      <c r="I92" s="1" t="s">
        <v>214</v>
      </c>
      <c r="J92">
        <v>5520</v>
      </c>
    </row>
    <row r="93" spans="1:10" x14ac:dyDescent="0.3">
      <c r="A93">
        <v>399154</v>
      </c>
      <c r="B93">
        <v>3</v>
      </c>
      <c r="C93">
        <v>55.9</v>
      </c>
      <c r="D93">
        <v>55</v>
      </c>
      <c r="E93" t="s">
        <v>215</v>
      </c>
      <c r="J93">
        <v>559</v>
      </c>
    </row>
    <row r="94" spans="1:10" ht="115.2" x14ac:dyDescent="0.3">
      <c r="A94">
        <v>399155</v>
      </c>
      <c r="B94">
        <v>4</v>
      </c>
      <c r="C94">
        <v>55.9</v>
      </c>
      <c r="D94">
        <v>55.9</v>
      </c>
      <c r="E94" t="s">
        <v>215</v>
      </c>
      <c r="F94" s="1" t="s">
        <v>216</v>
      </c>
      <c r="J94">
        <v>5590</v>
      </c>
    </row>
    <row r="95" spans="1:10" x14ac:dyDescent="0.3">
      <c r="A95">
        <v>399156</v>
      </c>
      <c r="B95">
        <v>2</v>
      </c>
      <c r="C95">
        <v>56</v>
      </c>
      <c r="D95" t="s">
        <v>197</v>
      </c>
      <c r="E95" t="s">
        <v>217</v>
      </c>
      <c r="F95" t="s">
        <v>218</v>
      </c>
      <c r="I95" t="s">
        <v>219</v>
      </c>
      <c r="J95">
        <v>56</v>
      </c>
    </row>
    <row r="96" spans="1:10" x14ac:dyDescent="0.3">
      <c r="A96">
        <v>399157</v>
      </c>
      <c r="B96">
        <v>3</v>
      </c>
      <c r="C96">
        <v>56.1</v>
      </c>
      <c r="D96">
        <v>56</v>
      </c>
      <c r="E96" t="s">
        <v>220</v>
      </c>
      <c r="J96">
        <v>561</v>
      </c>
    </row>
    <row r="97" spans="1:10" ht="158.4" x14ac:dyDescent="0.3">
      <c r="A97">
        <v>399158</v>
      </c>
      <c r="B97">
        <v>4</v>
      </c>
      <c r="C97">
        <v>56.1</v>
      </c>
      <c r="D97">
        <v>56.1</v>
      </c>
      <c r="E97" t="s">
        <v>220</v>
      </c>
      <c r="F97" s="1" t="s">
        <v>221</v>
      </c>
      <c r="G97" s="1" t="s">
        <v>222</v>
      </c>
      <c r="H97" t="e">
        <f>- delivery of self-prepared meals, such as pizza and sushi, for immediate consumption</f>
        <v>#NAME?</v>
      </c>
      <c r="I97" s="1" t="s">
        <v>223</v>
      </c>
      <c r="J97">
        <v>5610</v>
      </c>
    </row>
    <row r="98" spans="1:10" x14ac:dyDescent="0.3">
      <c r="A98">
        <v>399159</v>
      </c>
      <c r="B98">
        <v>3</v>
      </c>
      <c r="C98">
        <v>56.2</v>
      </c>
      <c r="D98">
        <v>56</v>
      </c>
      <c r="E98" t="s">
        <v>224</v>
      </c>
      <c r="F98" t="s">
        <v>225</v>
      </c>
      <c r="J98">
        <v>562</v>
      </c>
    </row>
    <row r="99" spans="1:10" ht="43.2" x14ac:dyDescent="0.3">
      <c r="A99">
        <v>399160</v>
      </c>
      <c r="B99">
        <v>4</v>
      </c>
      <c r="C99">
        <v>56.21</v>
      </c>
      <c r="D99">
        <v>56.2</v>
      </c>
      <c r="E99" t="s">
        <v>226</v>
      </c>
      <c r="F99" t="s">
        <v>227</v>
      </c>
      <c r="I99" s="1" t="s">
        <v>228</v>
      </c>
      <c r="J99">
        <v>5621</v>
      </c>
    </row>
    <row r="100" spans="1:10" ht="86.4" x14ac:dyDescent="0.3">
      <c r="A100">
        <v>399161</v>
      </c>
      <c r="B100">
        <v>4</v>
      </c>
      <c r="C100">
        <v>56.29</v>
      </c>
      <c r="D100">
        <v>56.2</v>
      </c>
      <c r="E100" t="s">
        <v>229</v>
      </c>
      <c r="F100" s="1" t="s">
        <v>230</v>
      </c>
      <c r="I100" s="1" t="s">
        <v>228</v>
      </c>
      <c r="J100">
        <v>5629</v>
      </c>
    </row>
    <row r="101" spans="1:10" x14ac:dyDescent="0.3">
      <c r="A101">
        <v>399162</v>
      </c>
      <c r="B101">
        <v>3</v>
      </c>
      <c r="C101">
        <v>56.3</v>
      </c>
      <c r="D101">
        <v>56</v>
      </c>
      <c r="E101" t="s">
        <v>231</v>
      </c>
      <c r="J101">
        <v>563</v>
      </c>
    </row>
    <row r="102" spans="1:10" ht="158.4" x14ac:dyDescent="0.3">
      <c r="A102">
        <v>399163</v>
      </c>
      <c r="B102">
        <v>4</v>
      </c>
      <c r="C102">
        <v>56.3</v>
      </c>
      <c r="D102">
        <v>56.3</v>
      </c>
      <c r="E102" t="s">
        <v>231</v>
      </c>
      <c r="F102" s="1" t="s">
        <v>232</v>
      </c>
      <c r="I102" s="1" t="s">
        <v>233</v>
      </c>
      <c r="J102">
        <v>5630</v>
      </c>
    </row>
    <row r="103" spans="1:10" ht="158.4" x14ac:dyDescent="0.3">
      <c r="A103">
        <v>399164</v>
      </c>
      <c r="B103">
        <v>1</v>
      </c>
      <c r="C103" t="s">
        <v>234</v>
      </c>
      <c r="E103" t="s">
        <v>235</v>
      </c>
      <c r="F103" s="1" t="s">
        <v>236</v>
      </c>
      <c r="J103" t="s">
        <v>234</v>
      </c>
    </row>
    <row r="104" spans="1:10" ht="57.6" x14ac:dyDescent="0.3">
      <c r="A104">
        <v>399165</v>
      </c>
      <c r="B104">
        <v>2</v>
      </c>
      <c r="C104">
        <v>58</v>
      </c>
      <c r="D104" t="s">
        <v>234</v>
      </c>
      <c r="E104" t="s">
        <v>237</v>
      </c>
      <c r="F104" s="1" t="s">
        <v>238</v>
      </c>
      <c r="I104" t="s">
        <v>239</v>
      </c>
      <c r="J104">
        <v>58</v>
      </c>
    </row>
    <row r="105" spans="1:10" x14ac:dyDescent="0.3">
      <c r="A105">
        <v>399166</v>
      </c>
      <c r="B105">
        <v>3</v>
      </c>
      <c r="C105">
        <v>58.1</v>
      </c>
      <c r="D105">
        <v>58</v>
      </c>
      <c r="E105" t="s">
        <v>240</v>
      </c>
      <c r="F105" t="s">
        <v>241</v>
      </c>
      <c r="J105">
        <v>581</v>
      </c>
    </row>
    <row r="106" spans="1:10" ht="100.8" x14ac:dyDescent="0.3">
      <c r="A106">
        <v>399167</v>
      </c>
      <c r="B106">
        <v>4</v>
      </c>
      <c r="C106">
        <v>58.11</v>
      </c>
      <c r="D106">
        <v>58.1</v>
      </c>
      <c r="E106" t="s">
        <v>242</v>
      </c>
      <c r="F106" s="1" t="s">
        <v>243</v>
      </c>
      <c r="I106" s="1" t="s">
        <v>244</v>
      </c>
      <c r="J106">
        <v>5811</v>
      </c>
    </row>
    <row r="107" spans="1:10" ht="86.4" x14ac:dyDescent="0.3">
      <c r="A107">
        <v>399168</v>
      </c>
      <c r="B107">
        <v>4</v>
      </c>
      <c r="C107">
        <v>58.12</v>
      </c>
      <c r="D107">
        <v>58.1</v>
      </c>
      <c r="E107" t="s">
        <v>245</v>
      </c>
      <c r="F107" s="1" t="s">
        <v>246</v>
      </c>
      <c r="J107">
        <v>5812</v>
      </c>
    </row>
    <row r="108" spans="1:10" ht="28.8" x14ac:dyDescent="0.3">
      <c r="A108">
        <v>399169</v>
      </c>
      <c r="B108">
        <v>4</v>
      </c>
      <c r="C108">
        <v>58.13</v>
      </c>
      <c r="D108">
        <v>58.1</v>
      </c>
      <c r="E108" t="s">
        <v>247</v>
      </c>
      <c r="F108" t="s">
        <v>248</v>
      </c>
      <c r="I108" s="1" t="s">
        <v>249</v>
      </c>
      <c r="J108">
        <v>5813</v>
      </c>
    </row>
    <row r="109" spans="1:10" x14ac:dyDescent="0.3">
      <c r="A109">
        <v>399170</v>
      </c>
      <c r="B109">
        <v>4</v>
      </c>
      <c r="C109">
        <v>58.14</v>
      </c>
      <c r="D109">
        <v>58.1</v>
      </c>
      <c r="E109" t="s">
        <v>250</v>
      </c>
      <c r="F109" t="s">
        <v>251</v>
      </c>
      <c r="J109">
        <v>5813</v>
      </c>
    </row>
    <row r="110" spans="1:10" ht="144" x14ac:dyDescent="0.3">
      <c r="A110">
        <v>399171</v>
      </c>
      <c r="B110">
        <v>4</v>
      </c>
      <c r="C110">
        <v>58.19</v>
      </c>
      <c r="D110">
        <v>58.1</v>
      </c>
      <c r="E110" t="s">
        <v>252</v>
      </c>
      <c r="F110" s="1" t="s">
        <v>253</v>
      </c>
      <c r="H110" t="e">
        <f>- publishing of blogs</f>
        <v>#NAME?</v>
      </c>
      <c r="I110" s="1" t="s">
        <v>254</v>
      </c>
      <c r="J110">
        <v>5819</v>
      </c>
    </row>
    <row r="111" spans="1:10" x14ac:dyDescent="0.3">
      <c r="A111">
        <v>399172</v>
      </c>
      <c r="B111">
        <v>3</v>
      </c>
      <c r="C111">
        <v>58.2</v>
      </c>
      <c r="D111">
        <v>58</v>
      </c>
      <c r="E111" t="s">
        <v>255</v>
      </c>
      <c r="J111">
        <v>582</v>
      </c>
    </row>
    <row r="112" spans="1:10" ht="28.8" x14ac:dyDescent="0.3">
      <c r="A112">
        <v>399173</v>
      </c>
      <c r="B112">
        <v>4</v>
      </c>
      <c r="C112">
        <v>58.21</v>
      </c>
      <c r="D112">
        <v>58.2</v>
      </c>
      <c r="E112" t="s">
        <v>256</v>
      </c>
      <c r="F112" s="1" t="s">
        <v>257</v>
      </c>
      <c r="H112" t="e">
        <f>- Operation of on-line games</f>
        <v>#NAME?</v>
      </c>
      <c r="J112">
        <v>5820</v>
      </c>
    </row>
    <row r="113" spans="1:10" ht="72" x14ac:dyDescent="0.3">
      <c r="A113">
        <v>399174</v>
      </c>
      <c r="B113">
        <v>4</v>
      </c>
      <c r="C113">
        <v>58.29</v>
      </c>
      <c r="D113">
        <v>58.2</v>
      </c>
      <c r="E113" t="s">
        <v>258</v>
      </c>
      <c r="F113" s="1" t="s">
        <v>259</v>
      </c>
      <c r="H113" t="e">
        <f>- Development and publishing of software for microchip design</f>
        <v>#NAME?</v>
      </c>
      <c r="I113" s="1" t="s">
        <v>260</v>
      </c>
      <c r="J113">
        <v>5820</v>
      </c>
    </row>
    <row r="114" spans="1:10" x14ac:dyDescent="0.3">
      <c r="A114">
        <v>399175</v>
      </c>
      <c r="B114">
        <v>2</v>
      </c>
      <c r="C114">
        <v>59</v>
      </c>
      <c r="D114" t="s">
        <v>234</v>
      </c>
      <c r="E114" t="s">
        <v>261</v>
      </c>
      <c r="F114" t="s">
        <v>262</v>
      </c>
      <c r="G114" t="s">
        <v>263</v>
      </c>
      <c r="J114">
        <v>59</v>
      </c>
    </row>
    <row r="115" spans="1:10" x14ac:dyDescent="0.3">
      <c r="A115">
        <v>399176</v>
      </c>
      <c r="B115">
        <v>3</v>
      </c>
      <c r="C115">
        <v>59.1</v>
      </c>
      <c r="D115">
        <v>59</v>
      </c>
      <c r="E115" t="s">
        <v>264</v>
      </c>
      <c r="F115" t="s">
        <v>265</v>
      </c>
      <c r="G115" t="s">
        <v>266</v>
      </c>
      <c r="J115">
        <v>591</v>
      </c>
    </row>
    <row r="116" spans="1:10" ht="201.6" x14ac:dyDescent="0.3">
      <c r="A116">
        <v>399177</v>
      </c>
      <c r="B116">
        <v>4</v>
      </c>
      <c r="C116">
        <v>59.11</v>
      </c>
      <c r="D116">
        <v>59.1</v>
      </c>
      <c r="E116" t="s">
        <v>267</v>
      </c>
      <c r="F116" s="1" t="s">
        <v>268</v>
      </c>
      <c r="I116" s="1" t="s">
        <v>269</v>
      </c>
      <c r="J116">
        <v>5911</v>
      </c>
    </row>
    <row r="117" spans="1:10" ht="115.2" x14ac:dyDescent="0.3">
      <c r="A117">
        <v>399178</v>
      </c>
      <c r="B117">
        <v>4</v>
      </c>
      <c r="C117">
        <v>59.12</v>
      </c>
      <c r="D117">
        <v>59.1</v>
      </c>
      <c r="E117" t="s">
        <v>270</v>
      </c>
      <c r="F117" t="s">
        <v>271</v>
      </c>
      <c r="G117" s="1" t="s">
        <v>272</v>
      </c>
      <c r="I117" s="1" t="s">
        <v>273</v>
      </c>
      <c r="J117">
        <v>5912</v>
      </c>
    </row>
    <row r="118" spans="1:10" ht="57.6" x14ac:dyDescent="0.3">
      <c r="A118">
        <v>399179</v>
      </c>
      <c r="B118">
        <v>4</v>
      </c>
      <c r="C118">
        <v>59.13</v>
      </c>
      <c r="D118">
        <v>59.1</v>
      </c>
      <c r="E118" t="s">
        <v>274</v>
      </c>
      <c r="F118" s="1" t="s">
        <v>275</v>
      </c>
      <c r="G118" s="1" t="s">
        <v>276</v>
      </c>
      <c r="I118" s="1" t="s">
        <v>277</v>
      </c>
      <c r="J118">
        <v>5913</v>
      </c>
    </row>
    <row r="119" spans="1:10" ht="43.2" x14ac:dyDescent="0.3">
      <c r="A119">
        <v>399180</v>
      </c>
      <c r="B119">
        <v>4</v>
      </c>
      <c r="C119">
        <v>59.14</v>
      </c>
      <c r="D119">
        <v>59.1</v>
      </c>
      <c r="E119" t="s">
        <v>278</v>
      </c>
      <c r="F119" s="1" t="s">
        <v>279</v>
      </c>
      <c r="J119">
        <v>5914</v>
      </c>
    </row>
    <row r="120" spans="1:10" x14ac:dyDescent="0.3">
      <c r="A120">
        <v>399181</v>
      </c>
      <c r="B120">
        <v>3</v>
      </c>
      <c r="C120">
        <v>59.2</v>
      </c>
      <c r="D120">
        <v>59</v>
      </c>
      <c r="E120" t="s">
        <v>280</v>
      </c>
      <c r="J120">
        <v>592</v>
      </c>
    </row>
    <row r="121" spans="1:10" ht="57.6" x14ac:dyDescent="0.3">
      <c r="A121">
        <v>399182</v>
      </c>
      <c r="B121">
        <v>4</v>
      </c>
      <c r="C121">
        <v>59.2</v>
      </c>
      <c r="D121">
        <v>59.2</v>
      </c>
      <c r="E121" t="s">
        <v>280</v>
      </c>
      <c r="F121" t="s">
        <v>281</v>
      </c>
      <c r="G121" s="1" t="s">
        <v>282</v>
      </c>
      <c r="J121">
        <v>5920</v>
      </c>
    </row>
    <row r="122" spans="1:10" x14ac:dyDescent="0.3">
      <c r="A122">
        <v>399183</v>
      </c>
      <c r="B122">
        <v>2</v>
      </c>
      <c r="C122">
        <v>60</v>
      </c>
      <c r="D122" t="s">
        <v>234</v>
      </c>
      <c r="E122" t="s">
        <v>283</v>
      </c>
      <c r="F122" t="s">
        <v>284</v>
      </c>
      <c r="G122" t="s">
        <v>285</v>
      </c>
      <c r="I122" t="s">
        <v>286</v>
      </c>
      <c r="J122">
        <v>60</v>
      </c>
    </row>
    <row r="123" spans="1:10" x14ac:dyDescent="0.3">
      <c r="A123">
        <v>399184</v>
      </c>
      <c r="B123">
        <v>3</v>
      </c>
      <c r="C123">
        <v>60.1</v>
      </c>
      <c r="D123">
        <v>60</v>
      </c>
      <c r="E123" t="s">
        <v>287</v>
      </c>
      <c r="J123">
        <v>601</v>
      </c>
    </row>
    <row r="124" spans="1:10" ht="57.6" x14ac:dyDescent="0.3">
      <c r="A124">
        <v>399185</v>
      </c>
      <c r="B124">
        <v>4</v>
      </c>
      <c r="C124">
        <v>60.1</v>
      </c>
      <c r="D124">
        <v>60.1</v>
      </c>
      <c r="E124" t="s">
        <v>287</v>
      </c>
      <c r="F124" s="1" t="s">
        <v>288</v>
      </c>
      <c r="G124" s="1" t="s">
        <v>289</v>
      </c>
      <c r="I124" s="1" t="s">
        <v>290</v>
      </c>
      <c r="J124">
        <v>6010</v>
      </c>
    </row>
    <row r="125" spans="1:10" x14ac:dyDescent="0.3">
      <c r="A125">
        <v>399186</v>
      </c>
      <c r="B125">
        <v>3</v>
      </c>
      <c r="C125">
        <v>60.2</v>
      </c>
      <c r="D125">
        <v>60</v>
      </c>
      <c r="E125" t="s">
        <v>291</v>
      </c>
      <c r="J125">
        <v>602</v>
      </c>
    </row>
    <row r="126" spans="1:10" ht="86.4" x14ac:dyDescent="0.3">
      <c r="A126">
        <v>399187</v>
      </c>
      <c r="B126">
        <v>4</v>
      </c>
      <c r="C126">
        <v>60.2</v>
      </c>
      <c r="D126">
        <v>60.2</v>
      </c>
      <c r="E126" t="s">
        <v>291</v>
      </c>
      <c r="F126" s="1" t="s">
        <v>292</v>
      </c>
      <c r="G126" t="s">
        <v>293</v>
      </c>
      <c r="H126" t="e">
        <f>- Broadcasting of live theatrical performances via Internet</f>
        <v>#NAME?</v>
      </c>
      <c r="I126" s="1" t="s">
        <v>294</v>
      </c>
      <c r="J126">
        <v>6020</v>
      </c>
    </row>
    <row r="127" spans="1:10" ht="57.6" x14ac:dyDescent="0.3">
      <c r="A127">
        <v>399188</v>
      </c>
      <c r="B127">
        <v>2</v>
      </c>
      <c r="C127">
        <v>61</v>
      </c>
      <c r="D127" t="s">
        <v>234</v>
      </c>
      <c r="E127" t="s">
        <v>295</v>
      </c>
      <c r="F127" s="1" t="s">
        <v>296</v>
      </c>
      <c r="J127">
        <v>61</v>
      </c>
    </row>
    <row r="128" spans="1:10" x14ac:dyDescent="0.3">
      <c r="A128">
        <v>399189</v>
      </c>
      <c r="B128">
        <v>3</v>
      </c>
      <c r="C128">
        <v>61.1</v>
      </c>
      <c r="D128">
        <v>61</v>
      </c>
      <c r="E128" t="s">
        <v>297</v>
      </c>
      <c r="J128">
        <v>611</v>
      </c>
    </row>
    <row r="129" spans="1:10" ht="100.8" x14ac:dyDescent="0.3">
      <c r="A129">
        <v>399190</v>
      </c>
      <c r="B129">
        <v>4</v>
      </c>
      <c r="C129">
        <v>61.1</v>
      </c>
      <c r="D129">
        <v>61.1</v>
      </c>
      <c r="E129" t="s">
        <v>297</v>
      </c>
      <c r="F129" s="1" t="s">
        <v>298</v>
      </c>
      <c r="G129" s="1" t="s">
        <v>299</v>
      </c>
      <c r="I129" s="1" t="s">
        <v>300</v>
      </c>
      <c r="J129">
        <v>6110</v>
      </c>
    </row>
    <row r="130" spans="1:10" x14ac:dyDescent="0.3">
      <c r="A130">
        <v>399191</v>
      </c>
      <c r="B130">
        <v>3</v>
      </c>
      <c r="C130">
        <v>61.2</v>
      </c>
      <c r="D130">
        <v>61</v>
      </c>
      <c r="E130" t="s">
        <v>301</v>
      </c>
      <c r="J130">
        <v>612</v>
      </c>
    </row>
    <row r="131" spans="1:10" ht="72" x14ac:dyDescent="0.3">
      <c r="A131">
        <v>399192</v>
      </c>
      <c r="B131">
        <v>4</v>
      </c>
      <c r="C131">
        <v>61.2</v>
      </c>
      <c r="D131">
        <v>61.2</v>
      </c>
      <c r="E131" t="s">
        <v>301</v>
      </c>
      <c r="F131" s="1" t="s">
        <v>302</v>
      </c>
      <c r="G131" s="1" t="s">
        <v>303</v>
      </c>
      <c r="I131" s="1" t="s">
        <v>300</v>
      </c>
      <c r="J131">
        <v>6120</v>
      </c>
    </row>
    <row r="132" spans="1:10" x14ac:dyDescent="0.3">
      <c r="A132">
        <v>399193</v>
      </c>
      <c r="B132">
        <v>3</v>
      </c>
      <c r="C132">
        <v>61.3</v>
      </c>
      <c r="D132">
        <v>61</v>
      </c>
      <c r="E132" t="s">
        <v>304</v>
      </c>
      <c r="J132">
        <v>613</v>
      </c>
    </row>
    <row r="133" spans="1:10" ht="43.2" x14ac:dyDescent="0.3">
      <c r="A133">
        <v>399194</v>
      </c>
      <c r="B133">
        <v>4</v>
      </c>
      <c r="C133">
        <v>61.3</v>
      </c>
      <c r="D133">
        <v>61.3</v>
      </c>
      <c r="E133" t="s">
        <v>304</v>
      </c>
      <c r="F133" s="1" t="s">
        <v>305</v>
      </c>
      <c r="G133" s="1" t="s">
        <v>306</v>
      </c>
      <c r="I133" s="1" t="s">
        <v>300</v>
      </c>
      <c r="J133">
        <v>6130</v>
      </c>
    </row>
    <row r="134" spans="1:10" x14ac:dyDescent="0.3">
      <c r="A134">
        <v>399195</v>
      </c>
      <c r="B134">
        <v>3</v>
      </c>
      <c r="C134">
        <v>61.9</v>
      </c>
      <c r="D134">
        <v>61</v>
      </c>
      <c r="E134" t="s">
        <v>307</v>
      </c>
      <c r="J134">
        <v>619</v>
      </c>
    </row>
    <row r="135" spans="1:10" ht="115.2" x14ac:dyDescent="0.3">
      <c r="A135">
        <v>399196</v>
      </c>
      <c r="B135">
        <v>4</v>
      </c>
      <c r="C135">
        <v>61.9</v>
      </c>
      <c r="D135">
        <v>61.9</v>
      </c>
      <c r="E135" t="s">
        <v>307</v>
      </c>
      <c r="F135" s="1" t="s">
        <v>308</v>
      </c>
      <c r="H135" t="e">
        <f>- Transmission via Internet of text messaging (SMS)
- Wholesale trade of Internet access packages and phone cards
- Internet cafes
- sale of prepaid telephone cards for mobile phones</f>
        <v>#NAME?</v>
      </c>
      <c r="I135" s="1" t="s">
        <v>309</v>
      </c>
      <c r="J135">
        <v>6190</v>
      </c>
    </row>
    <row r="136" spans="1:10" x14ac:dyDescent="0.3">
      <c r="A136">
        <v>399197</v>
      </c>
      <c r="B136">
        <v>2</v>
      </c>
      <c r="C136">
        <v>62</v>
      </c>
      <c r="D136" t="s">
        <v>234</v>
      </c>
      <c r="E136" t="s">
        <v>310</v>
      </c>
      <c r="F136" t="s">
        <v>311</v>
      </c>
      <c r="J136">
        <v>62</v>
      </c>
    </row>
    <row r="137" spans="1:10" x14ac:dyDescent="0.3">
      <c r="A137">
        <v>399198</v>
      </c>
      <c r="B137">
        <v>3</v>
      </c>
      <c r="C137">
        <v>62</v>
      </c>
      <c r="D137">
        <v>62</v>
      </c>
      <c r="E137" t="s">
        <v>310</v>
      </c>
      <c r="J137">
        <v>620</v>
      </c>
    </row>
    <row r="138" spans="1:10" ht="129.6" x14ac:dyDescent="0.3">
      <c r="A138">
        <v>399199</v>
      </c>
      <c r="B138">
        <v>4</v>
      </c>
      <c r="C138">
        <v>62.01</v>
      </c>
      <c r="D138">
        <v>62</v>
      </c>
      <c r="E138" t="s">
        <v>312</v>
      </c>
      <c r="F138" s="1" t="s">
        <v>313</v>
      </c>
      <c r="I138" s="1" t="s">
        <v>314</v>
      </c>
      <c r="J138">
        <v>6201</v>
      </c>
    </row>
    <row r="139" spans="1:10" ht="72" x14ac:dyDescent="0.3">
      <c r="A139">
        <v>399200</v>
      </c>
      <c r="B139">
        <v>4</v>
      </c>
      <c r="C139">
        <v>62.02</v>
      </c>
      <c r="D139">
        <v>62</v>
      </c>
      <c r="E139" t="s">
        <v>315</v>
      </c>
      <c r="F139" t="s">
        <v>316</v>
      </c>
      <c r="I139" s="1" t="s">
        <v>317</v>
      </c>
      <c r="J139">
        <v>6202</v>
      </c>
    </row>
    <row r="140" spans="1:10" x14ac:dyDescent="0.3">
      <c r="A140">
        <v>399201</v>
      </c>
      <c r="B140">
        <v>4</v>
      </c>
      <c r="C140">
        <v>62.03</v>
      </c>
      <c r="D140">
        <v>62</v>
      </c>
      <c r="E140" t="s">
        <v>318</v>
      </c>
      <c r="F140" t="s">
        <v>319</v>
      </c>
      <c r="J140">
        <v>6202</v>
      </c>
    </row>
    <row r="141" spans="1:10" ht="86.4" x14ac:dyDescent="0.3">
      <c r="A141">
        <v>399202</v>
      </c>
      <c r="B141">
        <v>4</v>
      </c>
      <c r="C141">
        <v>62.09</v>
      </c>
      <c r="D141">
        <v>62</v>
      </c>
      <c r="E141" t="s">
        <v>320</v>
      </c>
      <c r="F141" s="1" t="s">
        <v>321</v>
      </c>
      <c r="I141" s="1" t="s">
        <v>322</v>
      </c>
      <c r="J141">
        <v>6209</v>
      </c>
    </row>
    <row r="142" spans="1:10" x14ac:dyDescent="0.3">
      <c r="A142">
        <v>399203</v>
      </c>
      <c r="B142">
        <v>2</v>
      </c>
      <c r="C142">
        <v>63</v>
      </c>
      <c r="D142" t="s">
        <v>234</v>
      </c>
      <c r="E142" t="s">
        <v>323</v>
      </c>
      <c r="F142" t="s">
        <v>324</v>
      </c>
      <c r="J142">
        <v>63</v>
      </c>
    </row>
    <row r="143" spans="1:10" x14ac:dyDescent="0.3">
      <c r="A143">
        <v>399204</v>
      </c>
      <c r="B143">
        <v>3</v>
      </c>
      <c r="C143">
        <v>63.1</v>
      </c>
      <c r="D143">
        <v>63</v>
      </c>
      <c r="E143" t="s">
        <v>325</v>
      </c>
      <c r="F143" t="s">
        <v>326</v>
      </c>
      <c r="J143">
        <v>631</v>
      </c>
    </row>
    <row r="144" spans="1:10" ht="172.8" x14ac:dyDescent="0.3">
      <c r="A144">
        <v>399205</v>
      </c>
      <c r="B144">
        <v>4</v>
      </c>
      <c r="C144">
        <v>63.11</v>
      </c>
      <c r="D144">
        <v>63.1</v>
      </c>
      <c r="E144" t="s">
        <v>327</v>
      </c>
      <c r="F144" s="1" t="s">
        <v>328</v>
      </c>
      <c r="I144" s="1" t="s">
        <v>329</v>
      </c>
      <c r="J144">
        <v>6311</v>
      </c>
    </row>
    <row r="145" spans="1:10" ht="43.2" x14ac:dyDescent="0.3">
      <c r="A145">
        <v>399206</v>
      </c>
      <c r="B145">
        <v>4</v>
      </c>
      <c r="C145">
        <v>63.12</v>
      </c>
      <c r="D145">
        <v>63.1</v>
      </c>
      <c r="E145" t="s">
        <v>330</v>
      </c>
      <c r="F145" s="1" t="s">
        <v>331</v>
      </c>
      <c r="I145" s="1" t="s">
        <v>332</v>
      </c>
      <c r="J145">
        <v>6312</v>
      </c>
    </row>
    <row r="146" spans="1:10" ht="28.8" x14ac:dyDescent="0.3">
      <c r="A146">
        <v>399207</v>
      </c>
      <c r="B146">
        <v>3</v>
      </c>
      <c r="C146">
        <v>63.9</v>
      </c>
      <c r="D146">
        <v>63</v>
      </c>
      <c r="E146" t="s">
        <v>333</v>
      </c>
      <c r="F146" t="s">
        <v>334</v>
      </c>
      <c r="I146" s="1" t="s">
        <v>335</v>
      </c>
      <c r="J146">
        <v>639</v>
      </c>
    </row>
    <row r="147" spans="1:10" ht="43.2" x14ac:dyDescent="0.3">
      <c r="A147">
        <v>399208</v>
      </c>
      <c r="B147">
        <v>4</v>
      </c>
      <c r="C147">
        <v>63.91</v>
      </c>
      <c r="D147">
        <v>63.9</v>
      </c>
      <c r="E147" t="s">
        <v>336</v>
      </c>
      <c r="F147" s="1" t="s">
        <v>337</v>
      </c>
      <c r="I147" s="1" t="s">
        <v>338</v>
      </c>
      <c r="J147">
        <v>6391</v>
      </c>
    </row>
    <row r="148" spans="1:10" ht="57.6" x14ac:dyDescent="0.3">
      <c r="A148">
        <v>399209</v>
      </c>
      <c r="B148">
        <v>4</v>
      </c>
      <c r="C148">
        <v>63.99</v>
      </c>
      <c r="D148">
        <v>63.9</v>
      </c>
      <c r="E148" t="s">
        <v>339</v>
      </c>
      <c r="F148" s="1" t="s">
        <v>340</v>
      </c>
      <c r="H148" t="e">
        <f>- sports live data Collection activities</f>
        <v>#NAME?</v>
      </c>
      <c r="I148" s="1" t="s">
        <v>341</v>
      </c>
      <c r="J148">
        <v>6399</v>
      </c>
    </row>
    <row r="149" spans="1:10" x14ac:dyDescent="0.3">
      <c r="A149">
        <v>399210</v>
      </c>
      <c r="B149">
        <v>1</v>
      </c>
      <c r="C149" t="s">
        <v>342</v>
      </c>
      <c r="E149" t="s">
        <v>343</v>
      </c>
      <c r="F149" t="s">
        <v>344</v>
      </c>
      <c r="G149" t="s">
        <v>345</v>
      </c>
      <c r="J149" t="s">
        <v>342</v>
      </c>
    </row>
    <row r="150" spans="1:10" ht="43.2" x14ac:dyDescent="0.3">
      <c r="A150">
        <v>399211</v>
      </c>
      <c r="B150">
        <v>2</v>
      </c>
      <c r="C150">
        <v>64</v>
      </c>
      <c r="D150" t="s">
        <v>342</v>
      </c>
      <c r="E150" t="s">
        <v>346</v>
      </c>
      <c r="F150" s="1" t="s">
        <v>347</v>
      </c>
      <c r="J150">
        <v>64</v>
      </c>
    </row>
    <row r="151" spans="1:10" x14ac:dyDescent="0.3">
      <c r="A151">
        <v>399212</v>
      </c>
      <c r="B151">
        <v>3</v>
      </c>
      <c r="C151">
        <v>64.099999999999994</v>
      </c>
      <c r="D151">
        <v>64</v>
      </c>
      <c r="E151" t="s">
        <v>348</v>
      </c>
      <c r="F151" t="s">
        <v>349</v>
      </c>
      <c r="J151">
        <v>641</v>
      </c>
    </row>
    <row r="152" spans="1:10" ht="129.6" x14ac:dyDescent="0.3">
      <c r="A152">
        <v>399213</v>
      </c>
      <c r="B152">
        <v>4</v>
      </c>
      <c r="C152">
        <v>64.11</v>
      </c>
      <c r="D152">
        <v>64.099999999999994</v>
      </c>
      <c r="E152" t="s">
        <v>350</v>
      </c>
      <c r="F152" s="1" t="s">
        <v>351</v>
      </c>
      <c r="J152">
        <v>6411</v>
      </c>
    </row>
    <row r="153" spans="1:10" ht="72" x14ac:dyDescent="0.3">
      <c r="A153">
        <v>399214</v>
      </c>
      <c r="B153">
        <v>4</v>
      </c>
      <c r="C153">
        <v>64.19</v>
      </c>
      <c r="D153">
        <v>64.099999999999994</v>
      </c>
      <c r="E153" t="s">
        <v>352</v>
      </c>
      <c r="F153" s="1" t="s">
        <v>353</v>
      </c>
      <c r="G153" s="1" t="s">
        <v>354</v>
      </c>
      <c r="H153" t="e">
        <f>- Electronic currency issuing and trading</f>
        <v>#NAME?</v>
      </c>
      <c r="I153" s="1" t="s">
        <v>355</v>
      </c>
      <c r="J153">
        <v>6419</v>
      </c>
    </row>
    <row r="154" spans="1:10" x14ac:dyDescent="0.3">
      <c r="A154">
        <v>399215</v>
      </c>
      <c r="B154">
        <v>3</v>
      </c>
      <c r="C154">
        <v>64.2</v>
      </c>
      <c r="D154">
        <v>64</v>
      </c>
      <c r="E154" t="s">
        <v>356</v>
      </c>
      <c r="J154">
        <v>642</v>
      </c>
    </row>
    <row r="155" spans="1:10" ht="28.8" x14ac:dyDescent="0.3">
      <c r="A155">
        <v>399216</v>
      </c>
      <c r="B155">
        <v>4</v>
      </c>
      <c r="C155">
        <v>64.2</v>
      </c>
      <c r="D155">
        <v>64.2</v>
      </c>
      <c r="E155" t="s">
        <v>356</v>
      </c>
      <c r="F155" t="s">
        <v>357</v>
      </c>
      <c r="I155" s="1" t="s">
        <v>358</v>
      </c>
      <c r="J155">
        <v>6420</v>
      </c>
    </row>
    <row r="156" spans="1:10" x14ac:dyDescent="0.3">
      <c r="A156">
        <v>399217</v>
      </c>
      <c r="B156">
        <v>3</v>
      </c>
      <c r="C156">
        <v>64.3</v>
      </c>
      <c r="D156">
        <v>64</v>
      </c>
      <c r="E156" t="s">
        <v>359</v>
      </c>
      <c r="J156">
        <v>643</v>
      </c>
    </row>
    <row r="157" spans="1:10" ht="115.2" x14ac:dyDescent="0.3">
      <c r="A157">
        <v>399218</v>
      </c>
      <c r="B157">
        <v>4</v>
      </c>
      <c r="C157">
        <v>64.3</v>
      </c>
      <c r="D157">
        <v>64.3</v>
      </c>
      <c r="E157" t="s">
        <v>359</v>
      </c>
      <c r="F157" s="1" t="s">
        <v>360</v>
      </c>
      <c r="I157" s="1" t="s">
        <v>361</v>
      </c>
      <c r="J157">
        <v>6430</v>
      </c>
    </row>
    <row r="158" spans="1:10" ht="28.8" x14ac:dyDescent="0.3">
      <c r="A158">
        <v>399219</v>
      </c>
      <c r="B158">
        <v>3</v>
      </c>
      <c r="C158">
        <v>64.900000000000006</v>
      </c>
      <c r="D158">
        <v>64</v>
      </c>
      <c r="E158" t="s">
        <v>362</v>
      </c>
      <c r="F158" t="s">
        <v>363</v>
      </c>
      <c r="I158" s="1" t="s">
        <v>364</v>
      </c>
      <c r="J158">
        <v>649</v>
      </c>
    </row>
    <row r="159" spans="1:10" ht="43.2" x14ac:dyDescent="0.3">
      <c r="A159">
        <v>399220</v>
      </c>
      <c r="B159">
        <v>4</v>
      </c>
      <c r="C159">
        <v>64.91</v>
      </c>
      <c r="D159">
        <v>64.900000000000006</v>
      </c>
      <c r="E159" t="s">
        <v>365</v>
      </c>
      <c r="F159" s="1" t="s">
        <v>366</v>
      </c>
      <c r="I159" s="1" t="s">
        <v>367</v>
      </c>
      <c r="J159">
        <v>6491</v>
      </c>
    </row>
    <row r="160" spans="1:10" ht="115.2" x14ac:dyDescent="0.3">
      <c r="A160">
        <v>399221</v>
      </c>
      <c r="B160">
        <v>4</v>
      </c>
      <c r="C160">
        <v>64.92</v>
      </c>
      <c r="D160">
        <v>64.900000000000006</v>
      </c>
      <c r="E160" t="s">
        <v>368</v>
      </c>
      <c r="F160" s="1" t="s">
        <v>369</v>
      </c>
      <c r="I160" s="1" t="s">
        <v>370</v>
      </c>
      <c r="J160">
        <v>6492</v>
      </c>
    </row>
    <row r="161" spans="1:10" ht="86.4" x14ac:dyDescent="0.3">
      <c r="A161">
        <v>399222</v>
      </c>
      <c r="B161">
        <v>4</v>
      </c>
      <c r="C161">
        <v>64.989999999999995</v>
      </c>
      <c r="D161">
        <v>64.900000000000006</v>
      </c>
      <c r="E161" t="s">
        <v>371</v>
      </c>
      <c r="F161" s="1" t="s">
        <v>372</v>
      </c>
      <c r="H161" t="e">
        <f>- Acting as a buyer for the seller of swaps and options, and as seller for the buyer of swaps and options, i.e. Acting as both buyer and seller, i.e. on own account
- Purchase and brokerage of receivables</f>
        <v>#NAME?</v>
      </c>
      <c r="I161" s="1" t="s">
        <v>373</v>
      </c>
      <c r="J161">
        <v>6499</v>
      </c>
    </row>
    <row r="162" spans="1:10" x14ac:dyDescent="0.3">
      <c r="A162">
        <v>399223</v>
      </c>
      <c r="B162">
        <v>2</v>
      </c>
      <c r="C162">
        <v>65</v>
      </c>
      <c r="D162" t="s">
        <v>342</v>
      </c>
      <c r="E162" t="s">
        <v>374</v>
      </c>
      <c r="F162" t="s">
        <v>375</v>
      </c>
      <c r="J162">
        <v>65</v>
      </c>
    </row>
    <row r="163" spans="1:10" x14ac:dyDescent="0.3">
      <c r="A163">
        <v>399224</v>
      </c>
      <c r="B163">
        <v>3</v>
      </c>
      <c r="C163">
        <v>65.099999999999994</v>
      </c>
      <c r="D163">
        <v>65</v>
      </c>
      <c r="E163" t="s">
        <v>376</v>
      </c>
      <c r="F163" t="s">
        <v>377</v>
      </c>
      <c r="J163">
        <v>651</v>
      </c>
    </row>
    <row r="164" spans="1:10" ht="28.8" x14ac:dyDescent="0.3">
      <c r="A164">
        <v>399225</v>
      </c>
      <c r="B164">
        <v>4</v>
      </c>
      <c r="C164">
        <v>65.11</v>
      </c>
      <c r="D164">
        <v>65.099999999999994</v>
      </c>
      <c r="E164" t="s">
        <v>378</v>
      </c>
      <c r="F164" s="1" t="s">
        <v>379</v>
      </c>
      <c r="H164" t="e">
        <f>- Death or funeral insurance</f>
        <v>#NAME?</v>
      </c>
      <c r="J164">
        <v>6511</v>
      </c>
    </row>
    <row r="165" spans="1:10" ht="115.2" x14ac:dyDescent="0.3">
      <c r="A165">
        <v>399226</v>
      </c>
      <c r="B165">
        <v>4</v>
      </c>
      <c r="C165">
        <v>65.12</v>
      </c>
      <c r="D165">
        <v>65.099999999999994</v>
      </c>
      <c r="E165" t="s">
        <v>380</v>
      </c>
      <c r="F165" s="1" t="s">
        <v>381</v>
      </c>
      <c r="H165" t="e">
        <f>- Provision of motor vehicle warranty
- Health plan management on own account</f>
        <v>#NAME?</v>
      </c>
      <c r="J165">
        <v>6512</v>
      </c>
    </row>
    <row r="166" spans="1:10" x14ac:dyDescent="0.3">
      <c r="A166">
        <v>399227</v>
      </c>
      <c r="B166">
        <v>3</v>
      </c>
      <c r="C166">
        <v>65.2</v>
      </c>
      <c r="D166">
        <v>65</v>
      </c>
      <c r="E166" t="s">
        <v>382</v>
      </c>
      <c r="J166">
        <v>652</v>
      </c>
    </row>
    <row r="167" spans="1:10" ht="28.8" x14ac:dyDescent="0.3">
      <c r="A167">
        <v>399228</v>
      </c>
      <c r="B167">
        <v>4</v>
      </c>
      <c r="C167">
        <v>65.2</v>
      </c>
      <c r="D167">
        <v>65.2</v>
      </c>
      <c r="E167" t="s">
        <v>382</v>
      </c>
      <c r="F167" s="1" t="s">
        <v>383</v>
      </c>
      <c r="J167">
        <v>6520</v>
      </c>
    </row>
    <row r="168" spans="1:10" x14ac:dyDescent="0.3">
      <c r="A168">
        <v>399229</v>
      </c>
      <c r="B168">
        <v>3</v>
      </c>
      <c r="C168">
        <v>65.3</v>
      </c>
      <c r="D168">
        <v>65</v>
      </c>
      <c r="E168" t="s">
        <v>384</v>
      </c>
      <c r="J168">
        <v>653</v>
      </c>
    </row>
    <row r="169" spans="1:10" ht="100.8" x14ac:dyDescent="0.3">
      <c r="A169">
        <v>399230</v>
      </c>
      <c r="B169">
        <v>4</v>
      </c>
      <c r="C169">
        <v>65.3</v>
      </c>
      <c r="D169">
        <v>65.3</v>
      </c>
      <c r="E169" t="s">
        <v>384</v>
      </c>
      <c r="F169" s="1" t="s">
        <v>385</v>
      </c>
      <c r="H169" t="e">
        <f>- Fund management on behalf of the members</f>
        <v>#NAME?</v>
      </c>
      <c r="I169" s="1" t="s">
        <v>386</v>
      </c>
      <c r="J169">
        <v>6530</v>
      </c>
    </row>
    <row r="170" spans="1:10" x14ac:dyDescent="0.3">
      <c r="A170">
        <v>399231</v>
      </c>
      <c r="B170">
        <v>2</v>
      </c>
      <c r="C170">
        <v>66</v>
      </c>
      <c r="D170" t="s">
        <v>342</v>
      </c>
      <c r="E170" t="s">
        <v>387</v>
      </c>
      <c r="F170" t="s">
        <v>388</v>
      </c>
      <c r="J170">
        <v>66</v>
      </c>
    </row>
    <row r="171" spans="1:10" x14ac:dyDescent="0.3">
      <c r="A171">
        <v>399232</v>
      </c>
      <c r="B171">
        <v>3</v>
      </c>
      <c r="C171">
        <v>66.099999999999994</v>
      </c>
      <c r="D171">
        <v>66</v>
      </c>
      <c r="E171" t="s">
        <v>389</v>
      </c>
      <c r="F171" t="s">
        <v>390</v>
      </c>
      <c r="J171">
        <v>661</v>
      </c>
    </row>
    <row r="172" spans="1:10" ht="86.4" x14ac:dyDescent="0.3">
      <c r="A172">
        <v>399233</v>
      </c>
      <c r="B172">
        <v>4</v>
      </c>
      <c r="C172">
        <v>66.11</v>
      </c>
      <c r="D172">
        <v>66.099999999999994</v>
      </c>
      <c r="E172" t="s">
        <v>391</v>
      </c>
      <c r="F172" s="1" t="s">
        <v>392</v>
      </c>
      <c r="J172">
        <v>6611</v>
      </c>
    </row>
    <row r="173" spans="1:10" ht="72" x14ac:dyDescent="0.3">
      <c r="A173">
        <v>399234</v>
      </c>
      <c r="B173">
        <v>4</v>
      </c>
      <c r="C173">
        <v>66.12</v>
      </c>
      <c r="D173">
        <v>66.099999999999994</v>
      </c>
      <c r="E173" t="s">
        <v>393</v>
      </c>
      <c r="F173" s="1" t="s">
        <v>394</v>
      </c>
      <c r="H173" t="e">
        <f>- Buying and selling wind farms as investment projects
- currency trading on the Internet</f>
        <v>#NAME?</v>
      </c>
      <c r="I173" s="1" t="s">
        <v>395</v>
      </c>
      <c r="J173">
        <v>6612</v>
      </c>
    </row>
    <row r="174" spans="1:10" ht="57.6" x14ac:dyDescent="0.3">
      <c r="A174">
        <v>399235</v>
      </c>
      <c r="B174">
        <v>4</v>
      </c>
      <c r="C174">
        <v>66.19</v>
      </c>
      <c r="D174">
        <v>66.099999999999994</v>
      </c>
      <c r="E174" t="s">
        <v>396</v>
      </c>
      <c r="F174" s="1" t="s">
        <v>397</v>
      </c>
      <c r="G174" s="1" t="s">
        <v>398</v>
      </c>
      <c r="H174" t="e">
        <f>- Tax refund offices
- Cash-pooling activities
- investment crowd funding for start-ups
- consumption credit intermediation</f>
        <v>#NAME?</v>
      </c>
      <c r="I174" s="1" t="s">
        <v>399</v>
      </c>
      <c r="J174">
        <v>6619</v>
      </c>
    </row>
    <row r="175" spans="1:10" x14ac:dyDescent="0.3">
      <c r="A175">
        <v>399236</v>
      </c>
      <c r="B175">
        <v>3</v>
      </c>
      <c r="C175">
        <v>66.2</v>
      </c>
      <c r="D175">
        <v>66</v>
      </c>
      <c r="E175" t="s">
        <v>400</v>
      </c>
      <c r="F175" t="s">
        <v>401</v>
      </c>
      <c r="J175">
        <v>662</v>
      </c>
    </row>
    <row r="176" spans="1:10" ht="100.8" x14ac:dyDescent="0.3">
      <c r="A176">
        <v>399237</v>
      </c>
      <c r="B176">
        <v>4</v>
      </c>
      <c r="C176">
        <v>66.209999999999994</v>
      </c>
      <c r="D176">
        <v>66.2</v>
      </c>
      <c r="E176" t="s">
        <v>402</v>
      </c>
      <c r="F176" s="1" t="s">
        <v>403</v>
      </c>
      <c r="H176" t="e">
        <f>- insurance claims settlement</f>
        <v>#NAME?</v>
      </c>
      <c r="I176" s="1" t="s">
        <v>404</v>
      </c>
      <c r="J176">
        <v>6621</v>
      </c>
    </row>
    <row r="177" spans="1:10" ht="28.8" x14ac:dyDescent="0.3">
      <c r="A177">
        <v>399238</v>
      </c>
      <c r="B177">
        <v>4</v>
      </c>
      <c r="C177">
        <v>66.22</v>
      </c>
      <c r="D177">
        <v>66.2</v>
      </c>
      <c r="E177" t="s">
        <v>405</v>
      </c>
      <c r="F177" s="1" t="s">
        <v>406</v>
      </c>
      <c r="H177" t="e">
        <f>- Health plan management agents and brokers</f>
        <v>#NAME?</v>
      </c>
      <c r="J177">
        <v>6622</v>
      </c>
    </row>
    <row r="178" spans="1:10" ht="57.6" x14ac:dyDescent="0.3">
      <c r="A178">
        <v>399239</v>
      </c>
      <c r="B178">
        <v>4</v>
      </c>
      <c r="C178">
        <v>66.290000000000006</v>
      </c>
      <c r="D178">
        <v>66.2</v>
      </c>
      <c r="E178" t="s">
        <v>407</v>
      </c>
      <c r="F178" s="1" t="s">
        <v>408</v>
      </c>
      <c r="H178" t="e">
        <f>- Administration of insurance Guarantee Fund (such as green card agreement)</f>
        <v>#NAME?</v>
      </c>
      <c r="I178" s="1" t="s">
        <v>409</v>
      </c>
      <c r="J178">
        <v>6629</v>
      </c>
    </row>
    <row r="179" spans="1:10" x14ac:dyDescent="0.3">
      <c r="A179">
        <v>399240</v>
      </c>
      <c r="B179">
        <v>3</v>
      </c>
      <c r="C179">
        <v>66.3</v>
      </c>
      <c r="D179">
        <v>66</v>
      </c>
      <c r="E179" t="s">
        <v>410</v>
      </c>
      <c r="J179">
        <v>663</v>
      </c>
    </row>
    <row r="180" spans="1:10" ht="57.6" x14ac:dyDescent="0.3">
      <c r="A180">
        <v>399241</v>
      </c>
      <c r="B180">
        <v>4</v>
      </c>
      <c r="C180">
        <v>66.3</v>
      </c>
      <c r="D180">
        <v>66.3</v>
      </c>
      <c r="E180" t="s">
        <v>410</v>
      </c>
      <c r="F180" s="1" t="s">
        <v>411</v>
      </c>
      <c r="J180">
        <v>6630</v>
      </c>
    </row>
    <row r="181" spans="1:10" ht="57.6" x14ac:dyDescent="0.3">
      <c r="A181">
        <v>399242</v>
      </c>
      <c r="B181">
        <v>1</v>
      </c>
      <c r="C181" t="s">
        <v>412</v>
      </c>
      <c r="E181" t="s">
        <v>413</v>
      </c>
      <c r="F181" s="1" t="s">
        <v>414</v>
      </c>
      <c r="G181" t="s">
        <v>415</v>
      </c>
      <c r="J181" t="s">
        <v>412</v>
      </c>
    </row>
    <row r="182" spans="1:10" x14ac:dyDescent="0.3">
      <c r="A182">
        <v>399243</v>
      </c>
      <c r="B182">
        <v>2</v>
      </c>
      <c r="C182">
        <v>68</v>
      </c>
      <c r="D182" t="s">
        <v>412</v>
      </c>
      <c r="E182" t="s">
        <v>416</v>
      </c>
      <c r="J182">
        <v>68</v>
      </c>
    </row>
    <row r="183" spans="1:10" x14ac:dyDescent="0.3">
      <c r="A183">
        <v>399244</v>
      </c>
      <c r="B183">
        <v>3</v>
      </c>
      <c r="C183">
        <v>68.099999999999994</v>
      </c>
      <c r="D183">
        <v>68</v>
      </c>
      <c r="E183" t="s">
        <v>417</v>
      </c>
      <c r="J183">
        <v>681</v>
      </c>
    </row>
    <row r="184" spans="1:10" ht="72" x14ac:dyDescent="0.3">
      <c r="A184">
        <v>399245</v>
      </c>
      <c r="B184">
        <v>4</v>
      </c>
      <c r="C184">
        <v>68.099999999999994</v>
      </c>
      <c r="D184">
        <v>68.099999999999994</v>
      </c>
      <c r="E184" t="s">
        <v>417</v>
      </c>
      <c r="F184" s="1" t="s">
        <v>418</v>
      </c>
      <c r="G184" s="1" t="s">
        <v>419</v>
      </c>
      <c r="I184" s="1" t="s">
        <v>420</v>
      </c>
      <c r="J184">
        <v>6810</v>
      </c>
    </row>
    <row r="185" spans="1:10" x14ac:dyDescent="0.3">
      <c r="A185">
        <v>399246</v>
      </c>
      <c r="B185">
        <v>3</v>
      </c>
      <c r="C185">
        <v>68.2</v>
      </c>
      <c r="D185">
        <v>68</v>
      </c>
      <c r="E185" t="s">
        <v>421</v>
      </c>
      <c r="J185">
        <v>681</v>
      </c>
    </row>
    <row r="186" spans="1:10" ht="86.4" x14ac:dyDescent="0.3">
      <c r="A186">
        <v>399247</v>
      </c>
      <c r="B186">
        <v>4</v>
      </c>
      <c r="C186">
        <v>68.2</v>
      </c>
      <c r="D186">
        <v>68.2</v>
      </c>
      <c r="E186" t="s">
        <v>421</v>
      </c>
      <c r="F186" s="1" t="s">
        <v>422</v>
      </c>
      <c r="G186" s="1" t="s">
        <v>423</v>
      </c>
      <c r="H186" t="e">
        <f>- Letting of roofs for solar power installations
- rental of photovoltaic power plants</f>
        <v>#NAME?</v>
      </c>
      <c r="I186" s="1" t="s">
        <v>424</v>
      </c>
      <c r="J186">
        <v>6810</v>
      </c>
    </row>
    <row r="187" spans="1:10" x14ac:dyDescent="0.3">
      <c r="A187">
        <v>399248</v>
      </c>
      <c r="B187">
        <v>3</v>
      </c>
      <c r="C187">
        <v>68.3</v>
      </c>
      <c r="D187">
        <v>68</v>
      </c>
      <c r="E187" t="s">
        <v>425</v>
      </c>
      <c r="J187">
        <v>682</v>
      </c>
    </row>
    <row r="188" spans="1:10" ht="57.6" x14ac:dyDescent="0.3">
      <c r="A188">
        <v>399249</v>
      </c>
      <c r="B188">
        <v>4</v>
      </c>
      <c r="C188">
        <v>68.31</v>
      </c>
      <c r="D188">
        <v>68.3</v>
      </c>
      <c r="E188" t="s">
        <v>426</v>
      </c>
      <c r="F188" s="1" t="s">
        <v>427</v>
      </c>
      <c r="I188" s="1" t="s">
        <v>428</v>
      </c>
      <c r="J188">
        <v>6820</v>
      </c>
    </row>
    <row r="189" spans="1:10" ht="57.6" x14ac:dyDescent="0.3">
      <c r="A189">
        <v>399250</v>
      </c>
      <c r="B189">
        <v>4</v>
      </c>
      <c r="C189">
        <v>68.319999999999993</v>
      </c>
      <c r="D189">
        <v>68.3</v>
      </c>
      <c r="E189" t="s">
        <v>429</v>
      </c>
      <c r="G189" s="1" t="s">
        <v>430</v>
      </c>
      <c r="H189" t="e">
        <f>- management by owners of co-owned dwelling facilities</f>
        <v>#NAME?</v>
      </c>
      <c r="I189" s="1" t="s">
        <v>431</v>
      </c>
      <c r="J189">
        <v>6820</v>
      </c>
    </row>
    <row r="190" spans="1:10" x14ac:dyDescent="0.3">
      <c r="A190">
        <v>399251</v>
      </c>
      <c r="B190">
        <v>1</v>
      </c>
      <c r="C190" t="s">
        <v>432</v>
      </c>
      <c r="E190" t="s">
        <v>433</v>
      </c>
      <c r="F190" t="s">
        <v>434</v>
      </c>
      <c r="J190" t="s">
        <v>432</v>
      </c>
    </row>
    <row r="191" spans="1:10" ht="57.6" x14ac:dyDescent="0.3">
      <c r="A191">
        <v>399252</v>
      </c>
      <c r="B191">
        <v>2</v>
      </c>
      <c r="C191">
        <v>69</v>
      </c>
      <c r="D191" t="s">
        <v>432</v>
      </c>
      <c r="E191" t="s">
        <v>435</v>
      </c>
      <c r="F191" t="s">
        <v>436</v>
      </c>
      <c r="G191" s="1" t="s">
        <v>437</v>
      </c>
      <c r="J191">
        <v>69</v>
      </c>
    </row>
    <row r="192" spans="1:10" x14ac:dyDescent="0.3">
      <c r="A192">
        <v>399253</v>
      </c>
      <c r="B192">
        <v>3</v>
      </c>
      <c r="C192">
        <v>69.099999999999994</v>
      </c>
      <c r="D192">
        <v>69</v>
      </c>
      <c r="E192" t="s">
        <v>438</v>
      </c>
      <c r="J192">
        <v>691</v>
      </c>
    </row>
    <row r="193" spans="1:10" ht="144" x14ac:dyDescent="0.3">
      <c r="A193">
        <v>399254</v>
      </c>
      <c r="B193">
        <v>4</v>
      </c>
      <c r="C193">
        <v>69.099999999999994</v>
      </c>
      <c r="D193">
        <v>69.099999999999994</v>
      </c>
      <c r="E193" t="s">
        <v>438</v>
      </c>
      <c r="F193" s="1" t="s">
        <v>439</v>
      </c>
      <c r="I193" s="1" t="s">
        <v>440</v>
      </c>
      <c r="J193">
        <v>6910</v>
      </c>
    </row>
    <row r="194" spans="1:10" x14ac:dyDescent="0.3">
      <c r="A194">
        <v>399255</v>
      </c>
      <c r="B194">
        <v>3</v>
      </c>
      <c r="C194">
        <v>69.2</v>
      </c>
      <c r="D194">
        <v>69</v>
      </c>
      <c r="E194" t="s">
        <v>441</v>
      </c>
      <c r="J194">
        <v>692</v>
      </c>
    </row>
    <row r="195" spans="1:10" ht="86.4" x14ac:dyDescent="0.3">
      <c r="A195">
        <v>399256</v>
      </c>
      <c r="B195">
        <v>4</v>
      </c>
      <c r="C195">
        <v>69.2</v>
      </c>
      <c r="D195">
        <v>69.2</v>
      </c>
      <c r="E195" t="s">
        <v>441</v>
      </c>
      <c r="F195" s="1" t="s">
        <v>442</v>
      </c>
      <c r="H195" t="e">
        <f>- Duty and Tax tariff calculation service activities</f>
        <v>#NAME?</v>
      </c>
      <c r="I195" s="1" t="s">
        <v>443</v>
      </c>
      <c r="J195">
        <v>6920</v>
      </c>
    </row>
    <row r="196" spans="1:10" x14ac:dyDescent="0.3">
      <c r="A196">
        <v>399257</v>
      </c>
      <c r="B196">
        <v>2</v>
      </c>
      <c r="C196">
        <v>70</v>
      </c>
      <c r="D196" t="s">
        <v>432</v>
      </c>
      <c r="E196" t="s">
        <v>444</v>
      </c>
      <c r="F196" t="s">
        <v>445</v>
      </c>
      <c r="G196" t="s">
        <v>446</v>
      </c>
      <c r="J196">
        <v>70</v>
      </c>
    </row>
    <row r="197" spans="1:10" x14ac:dyDescent="0.3">
      <c r="A197">
        <v>399258</v>
      </c>
      <c r="B197">
        <v>3</v>
      </c>
      <c r="C197">
        <v>70.099999999999994</v>
      </c>
      <c r="D197">
        <v>70</v>
      </c>
      <c r="E197" t="s">
        <v>447</v>
      </c>
      <c r="J197">
        <v>701</v>
      </c>
    </row>
    <row r="198" spans="1:10" ht="115.2" x14ac:dyDescent="0.3">
      <c r="A198">
        <v>399259</v>
      </c>
      <c r="B198">
        <v>4</v>
      </c>
      <c r="C198">
        <v>70.099999999999994</v>
      </c>
      <c r="D198">
        <v>70.099999999999994</v>
      </c>
      <c r="E198" t="s">
        <v>447</v>
      </c>
      <c r="F198" s="1" t="s">
        <v>448</v>
      </c>
      <c r="I198" s="1" t="s">
        <v>449</v>
      </c>
      <c r="J198">
        <v>7010</v>
      </c>
    </row>
    <row r="199" spans="1:10" x14ac:dyDescent="0.3">
      <c r="A199">
        <v>399260</v>
      </c>
      <c r="B199">
        <v>3</v>
      </c>
      <c r="C199">
        <v>70.2</v>
      </c>
      <c r="D199">
        <v>70</v>
      </c>
      <c r="E199" t="s">
        <v>450</v>
      </c>
      <c r="J199">
        <v>702</v>
      </c>
    </row>
    <row r="200" spans="1:10" ht="43.2" x14ac:dyDescent="0.3">
      <c r="A200">
        <v>399261</v>
      </c>
      <c r="B200">
        <v>4</v>
      </c>
      <c r="C200">
        <v>70.209999999999994</v>
      </c>
      <c r="D200">
        <v>70.2</v>
      </c>
      <c r="E200" t="s">
        <v>451</v>
      </c>
      <c r="F200" t="s">
        <v>452</v>
      </c>
      <c r="I200" s="1" t="s">
        <v>453</v>
      </c>
      <c r="J200">
        <v>7020</v>
      </c>
    </row>
    <row r="201" spans="1:10" ht="115.2" x14ac:dyDescent="0.3">
      <c r="A201">
        <v>399262</v>
      </c>
      <c r="B201">
        <v>4</v>
      </c>
      <c r="C201">
        <v>70.22</v>
      </c>
      <c r="D201">
        <v>70.2</v>
      </c>
      <c r="E201" t="s">
        <v>454</v>
      </c>
      <c r="F201" s="1" t="s">
        <v>455</v>
      </c>
      <c r="H201" t="e">
        <f>- Provision of business and professionals guidance
- filling out the papers and attaching the supporting documents required in relation to a public procurement procedure
- business establishing and start-up service activities</f>
        <v>#NAME?</v>
      </c>
      <c r="I201" s="1" t="s">
        <v>456</v>
      </c>
      <c r="J201">
        <v>7020</v>
      </c>
    </row>
    <row r="202" spans="1:10" x14ac:dyDescent="0.3">
      <c r="A202">
        <v>399263</v>
      </c>
      <c r="B202">
        <v>2</v>
      </c>
      <c r="C202">
        <v>71</v>
      </c>
      <c r="D202" t="s">
        <v>432</v>
      </c>
      <c r="E202" t="s">
        <v>457</v>
      </c>
      <c r="F202" t="s">
        <v>458</v>
      </c>
      <c r="G202" t="s">
        <v>459</v>
      </c>
      <c r="J202">
        <v>71</v>
      </c>
    </row>
    <row r="203" spans="1:10" x14ac:dyDescent="0.3">
      <c r="A203">
        <v>399264</v>
      </c>
      <c r="B203">
        <v>3</v>
      </c>
      <c r="C203">
        <v>71.099999999999994</v>
      </c>
      <c r="D203">
        <v>71</v>
      </c>
      <c r="E203" t="s">
        <v>460</v>
      </c>
      <c r="F203" t="s">
        <v>461</v>
      </c>
      <c r="J203">
        <v>711</v>
      </c>
    </row>
    <row r="204" spans="1:10" ht="57.6" x14ac:dyDescent="0.3">
      <c r="A204">
        <v>399265</v>
      </c>
      <c r="B204">
        <v>4</v>
      </c>
      <c r="C204">
        <v>71.11</v>
      </c>
      <c r="D204">
        <v>71.099999999999994</v>
      </c>
      <c r="E204" t="s">
        <v>462</v>
      </c>
      <c r="F204" s="1" t="s">
        <v>463</v>
      </c>
      <c r="I204" s="1" t="s">
        <v>464</v>
      </c>
      <c r="J204">
        <v>7110</v>
      </c>
    </row>
    <row r="205" spans="1:10" ht="187.2" x14ac:dyDescent="0.3">
      <c r="A205">
        <v>399266</v>
      </c>
      <c r="B205">
        <v>4</v>
      </c>
      <c r="C205">
        <v>71.12</v>
      </c>
      <c r="D205">
        <v>71.099999999999994</v>
      </c>
      <c r="E205" t="s">
        <v>465</v>
      </c>
      <c r="F205" s="1" t="s">
        <v>466</v>
      </c>
      <c r="H205" t="e">
        <f>- Updating of navigation maps
- Go-kart track design activities
- data Collection with drone</f>
        <v>#NAME?</v>
      </c>
      <c r="I205" s="1" t="s">
        <v>467</v>
      </c>
      <c r="J205">
        <v>7110</v>
      </c>
    </row>
    <row r="206" spans="1:10" x14ac:dyDescent="0.3">
      <c r="A206">
        <v>399267</v>
      </c>
      <c r="B206">
        <v>3</v>
      </c>
      <c r="C206">
        <v>71.2</v>
      </c>
      <c r="D206">
        <v>71</v>
      </c>
      <c r="E206" t="s">
        <v>468</v>
      </c>
      <c r="J206">
        <v>712</v>
      </c>
    </row>
    <row r="207" spans="1:10" ht="201.6" x14ac:dyDescent="0.3">
      <c r="A207">
        <v>399268</v>
      </c>
      <c r="B207">
        <v>4</v>
      </c>
      <c r="C207">
        <v>71.2</v>
      </c>
      <c r="D207">
        <v>71.2</v>
      </c>
      <c r="E207" t="s">
        <v>468</v>
      </c>
      <c r="F207" s="1" t="s">
        <v>469</v>
      </c>
      <c r="H207" t="e">
        <f>- Archaeobotanical analyses
- Inspection of oilfield pipes
- Product origin and quality assessment activities</f>
        <v>#NAME?</v>
      </c>
      <c r="I207" s="1" t="s">
        <v>470</v>
      </c>
      <c r="J207">
        <v>7120</v>
      </c>
    </row>
    <row r="208" spans="1:10" ht="72" x14ac:dyDescent="0.3">
      <c r="A208">
        <v>399269</v>
      </c>
      <c r="B208">
        <v>2</v>
      </c>
      <c r="C208">
        <v>72</v>
      </c>
      <c r="D208" t="s">
        <v>432</v>
      </c>
      <c r="E208" t="s">
        <v>471</v>
      </c>
      <c r="F208" s="1" t="s">
        <v>472</v>
      </c>
      <c r="I208" s="1" t="s">
        <v>473</v>
      </c>
      <c r="J208">
        <v>72</v>
      </c>
    </row>
    <row r="209" spans="1:10" x14ac:dyDescent="0.3">
      <c r="A209">
        <v>399270</v>
      </c>
      <c r="B209">
        <v>3</v>
      </c>
      <c r="C209">
        <v>72.099999999999994</v>
      </c>
      <c r="D209">
        <v>72</v>
      </c>
      <c r="E209" t="s">
        <v>474</v>
      </c>
      <c r="F209" t="s">
        <v>475</v>
      </c>
      <c r="J209">
        <v>721</v>
      </c>
    </row>
    <row r="210" spans="1:10" ht="115.2" x14ac:dyDescent="0.3">
      <c r="A210">
        <v>399271</v>
      </c>
      <c r="B210">
        <v>4</v>
      </c>
      <c r="C210">
        <v>72.11</v>
      </c>
      <c r="D210">
        <v>72.099999999999994</v>
      </c>
      <c r="E210" t="s">
        <v>476</v>
      </c>
      <c r="F210" s="1" t="s">
        <v>477</v>
      </c>
      <c r="J210">
        <v>7210</v>
      </c>
    </row>
    <row r="211" spans="1:10" ht="100.8" x14ac:dyDescent="0.3">
      <c r="A211">
        <v>399272</v>
      </c>
      <c r="B211">
        <v>4</v>
      </c>
      <c r="C211">
        <v>72.19</v>
      </c>
      <c r="D211">
        <v>72.099999999999994</v>
      </c>
      <c r="E211" t="s">
        <v>478</v>
      </c>
      <c r="F211" s="1" t="s">
        <v>479</v>
      </c>
      <c r="J211">
        <v>7210</v>
      </c>
    </row>
    <row r="212" spans="1:10" x14ac:dyDescent="0.3">
      <c r="A212">
        <v>399273</v>
      </c>
      <c r="B212">
        <v>3</v>
      </c>
      <c r="C212">
        <v>72.2</v>
      </c>
      <c r="D212">
        <v>72</v>
      </c>
      <c r="E212" t="s">
        <v>480</v>
      </c>
      <c r="J212">
        <v>722</v>
      </c>
    </row>
    <row r="213" spans="1:10" ht="57.6" x14ac:dyDescent="0.3">
      <c r="A213">
        <v>399274</v>
      </c>
      <c r="B213">
        <v>4</v>
      </c>
      <c r="C213">
        <v>72.2</v>
      </c>
      <c r="D213">
        <v>72.2</v>
      </c>
      <c r="E213" t="s">
        <v>480</v>
      </c>
      <c r="F213" s="1" t="s">
        <v>481</v>
      </c>
      <c r="H213" t="e">
        <f>- Think tanks (policy institutes) conducting research and experimental Development on social sciences and humanities
- Excavation, digging on archaeological sites and research</f>
        <v>#NAME?</v>
      </c>
      <c r="I213" s="1" t="s">
        <v>482</v>
      </c>
      <c r="J213">
        <v>7220</v>
      </c>
    </row>
    <row r="214" spans="1:10" x14ac:dyDescent="0.3">
      <c r="A214">
        <v>399275</v>
      </c>
      <c r="B214">
        <v>2</v>
      </c>
      <c r="C214">
        <v>73</v>
      </c>
      <c r="D214" t="s">
        <v>432</v>
      </c>
      <c r="E214" t="s">
        <v>483</v>
      </c>
      <c r="F214" t="s">
        <v>484</v>
      </c>
      <c r="J214">
        <v>73</v>
      </c>
    </row>
    <row r="215" spans="1:10" x14ac:dyDescent="0.3">
      <c r="A215">
        <v>399276</v>
      </c>
      <c r="B215">
        <v>3</v>
      </c>
      <c r="C215">
        <v>73.099999999999994</v>
      </c>
      <c r="D215">
        <v>73</v>
      </c>
      <c r="E215" t="s">
        <v>485</v>
      </c>
      <c r="J215">
        <v>731</v>
      </c>
    </row>
    <row r="216" spans="1:10" ht="201.6" x14ac:dyDescent="0.3">
      <c r="A216">
        <v>399277</v>
      </c>
      <c r="B216">
        <v>4</v>
      </c>
      <c r="C216">
        <v>73.11</v>
      </c>
      <c r="D216">
        <v>73.099999999999994</v>
      </c>
      <c r="E216" t="s">
        <v>486</v>
      </c>
      <c r="F216" s="1" t="s">
        <v>487</v>
      </c>
      <c r="I216" s="1" t="s">
        <v>488</v>
      </c>
      <c r="J216">
        <v>7310</v>
      </c>
    </row>
    <row r="217" spans="1:10" ht="43.2" x14ac:dyDescent="0.3">
      <c r="A217">
        <v>399278</v>
      </c>
      <c r="B217">
        <v>4</v>
      </c>
      <c r="C217">
        <v>73.12</v>
      </c>
      <c r="D217">
        <v>73.099999999999994</v>
      </c>
      <c r="E217" t="s">
        <v>489</v>
      </c>
      <c r="F217" s="1" t="s">
        <v>490</v>
      </c>
      <c r="H217" t="e">
        <f>- Advertising space sale via intermediaries</f>
        <v>#NAME?</v>
      </c>
      <c r="I217" s="1" t="s">
        <v>491</v>
      </c>
      <c r="J217">
        <v>7310</v>
      </c>
    </row>
    <row r="218" spans="1:10" x14ac:dyDescent="0.3">
      <c r="A218">
        <v>399279</v>
      </c>
      <c r="B218">
        <v>3</v>
      </c>
      <c r="C218">
        <v>73.2</v>
      </c>
      <c r="D218">
        <v>73</v>
      </c>
      <c r="E218" t="s">
        <v>492</v>
      </c>
      <c r="J218">
        <v>732</v>
      </c>
    </row>
    <row r="219" spans="1:10" ht="43.2" x14ac:dyDescent="0.3">
      <c r="A219">
        <v>399280</v>
      </c>
      <c r="B219">
        <v>4</v>
      </c>
      <c r="C219">
        <v>73.2</v>
      </c>
      <c r="D219">
        <v>73.2</v>
      </c>
      <c r="E219" t="s">
        <v>492</v>
      </c>
      <c r="F219" s="1" t="s">
        <v>493</v>
      </c>
      <c r="H219" t="e">
        <f>- Undercover market research, to assess service level by visiting or calling business
- Testing of website usability</f>
        <v>#NAME?</v>
      </c>
      <c r="J219">
        <v>7320</v>
      </c>
    </row>
    <row r="220" spans="1:10" x14ac:dyDescent="0.3">
      <c r="A220">
        <v>399281</v>
      </c>
      <c r="B220">
        <v>2</v>
      </c>
      <c r="C220">
        <v>74</v>
      </c>
      <c r="D220" t="s">
        <v>432</v>
      </c>
      <c r="E220" t="s">
        <v>494</v>
      </c>
      <c r="F220" t="s">
        <v>495</v>
      </c>
      <c r="J220">
        <v>74</v>
      </c>
    </row>
    <row r="221" spans="1:10" x14ac:dyDescent="0.3">
      <c r="A221">
        <v>399282</v>
      </c>
      <c r="B221">
        <v>3</v>
      </c>
      <c r="C221">
        <v>74.099999999999994</v>
      </c>
      <c r="D221">
        <v>74</v>
      </c>
      <c r="E221" t="s">
        <v>496</v>
      </c>
      <c r="J221">
        <v>741</v>
      </c>
    </row>
    <row r="222" spans="1:10" ht="86.4" x14ac:dyDescent="0.3">
      <c r="A222">
        <v>399283</v>
      </c>
      <c r="B222">
        <v>4</v>
      </c>
      <c r="C222">
        <v>74.099999999999994</v>
      </c>
      <c r="D222">
        <v>74.099999999999994</v>
      </c>
      <c r="E222" t="s">
        <v>496</v>
      </c>
      <c r="F222" s="1" t="s">
        <v>497</v>
      </c>
      <c r="H222" t="e">
        <f>- design activities related to wearing apparel patterns</f>
        <v>#NAME?</v>
      </c>
      <c r="I222" s="1" t="s">
        <v>498</v>
      </c>
      <c r="J222">
        <v>7410</v>
      </c>
    </row>
    <row r="223" spans="1:10" x14ac:dyDescent="0.3">
      <c r="A223">
        <v>399284</v>
      </c>
      <c r="B223">
        <v>3</v>
      </c>
      <c r="C223">
        <v>74.2</v>
      </c>
      <c r="D223">
        <v>74</v>
      </c>
      <c r="E223" t="s">
        <v>499</v>
      </c>
      <c r="J223">
        <v>742</v>
      </c>
    </row>
    <row r="224" spans="1:10" ht="187.2" x14ac:dyDescent="0.3">
      <c r="A224">
        <v>399285</v>
      </c>
      <c r="B224">
        <v>4</v>
      </c>
      <c r="C224">
        <v>74.2</v>
      </c>
      <c r="D224">
        <v>74.2</v>
      </c>
      <c r="E224" t="s">
        <v>499</v>
      </c>
      <c r="F224" s="1" t="s">
        <v>500</v>
      </c>
      <c r="G224" s="1" t="s">
        <v>501</v>
      </c>
      <c r="H224" s="1" t="s">
        <v>502</v>
      </c>
      <c r="I224" s="1" t="s">
        <v>503</v>
      </c>
      <c r="J224">
        <v>7420</v>
      </c>
    </row>
    <row r="225" spans="1:10" x14ac:dyDescent="0.3">
      <c r="A225">
        <v>399286</v>
      </c>
      <c r="B225">
        <v>3</v>
      </c>
      <c r="C225">
        <v>74.3</v>
      </c>
      <c r="D225">
        <v>74</v>
      </c>
      <c r="E225" t="s">
        <v>504</v>
      </c>
      <c r="J225">
        <v>749</v>
      </c>
    </row>
    <row r="226" spans="1:10" x14ac:dyDescent="0.3">
      <c r="A226">
        <v>399287</v>
      </c>
      <c r="B226">
        <v>4</v>
      </c>
      <c r="C226">
        <v>74.3</v>
      </c>
      <c r="D226">
        <v>74.3</v>
      </c>
      <c r="E226" t="s">
        <v>504</v>
      </c>
      <c r="H226" t="e">
        <f>- Sign language interpretation activities</f>
        <v>#NAME?</v>
      </c>
      <c r="J226">
        <v>7490</v>
      </c>
    </row>
    <row r="227" spans="1:10" x14ac:dyDescent="0.3">
      <c r="A227">
        <v>399288</v>
      </c>
      <c r="B227">
        <v>3</v>
      </c>
      <c r="C227">
        <v>74.900000000000006</v>
      </c>
      <c r="D227">
        <v>74</v>
      </c>
      <c r="E227" t="s">
        <v>505</v>
      </c>
      <c r="J227">
        <v>749</v>
      </c>
    </row>
    <row r="228" spans="1:10" ht="230.4" x14ac:dyDescent="0.3">
      <c r="A228">
        <v>399289</v>
      </c>
      <c r="B228">
        <v>4</v>
      </c>
      <c r="C228">
        <v>74.900000000000006</v>
      </c>
      <c r="D228">
        <v>74.900000000000006</v>
      </c>
      <c r="E228" t="s">
        <v>505</v>
      </c>
      <c r="F228" s="1" t="s">
        <v>506</v>
      </c>
      <c r="G228" s="1" t="s">
        <v>507</v>
      </c>
      <c r="I228" s="1" t="s">
        <v>508</v>
      </c>
      <c r="J228">
        <v>7490</v>
      </c>
    </row>
    <row r="229" spans="1:10" x14ac:dyDescent="0.3">
      <c r="A229">
        <v>399290</v>
      </c>
      <c r="B229">
        <v>2</v>
      </c>
      <c r="C229">
        <v>75</v>
      </c>
      <c r="D229" t="s">
        <v>432</v>
      </c>
      <c r="E229" t="s">
        <v>509</v>
      </c>
      <c r="F229" t="s">
        <v>510</v>
      </c>
      <c r="G229" t="s">
        <v>511</v>
      </c>
      <c r="J229">
        <v>75</v>
      </c>
    </row>
    <row r="230" spans="1:10" x14ac:dyDescent="0.3">
      <c r="A230">
        <v>399291</v>
      </c>
      <c r="B230">
        <v>3</v>
      </c>
      <c r="C230">
        <v>75</v>
      </c>
      <c r="D230">
        <v>75</v>
      </c>
      <c r="E230" t="s">
        <v>509</v>
      </c>
      <c r="J230">
        <v>750</v>
      </c>
    </row>
    <row r="231" spans="1:10" ht="86.4" x14ac:dyDescent="0.3">
      <c r="A231">
        <v>399292</v>
      </c>
      <c r="B231">
        <v>4</v>
      </c>
      <c r="C231">
        <v>75</v>
      </c>
      <c r="D231">
        <v>75</v>
      </c>
      <c r="E231" t="s">
        <v>509</v>
      </c>
      <c r="F231" s="1" t="s">
        <v>512</v>
      </c>
      <c r="G231" s="1" t="s">
        <v>513</v>
      </c>
      <c r="H231" t="e">
        <f>- Animal genetic Testing activities</f>
        <v>#NAME?</v>
      </c>
      <c r="I231" s="1" t="s">
        <v>514</v>
      </c>
      <c r="J231">
        <v>7500</v>
      </c>
    </row>
    <row r="232" spans="1:10" x14ac:dyDescent="0.3">
      <c r="A232">
        <v>399293</v>
      </c>
      <c r="B232">
        <v>1</v>
      </c>
      <c r="C232" t="s">
        <v>515</v>
      </c>
      <c r="E232" t="s">
        <v>516</v>
      </c>
      <c r="F232" t="s">
        <v>517</v>
      </c>
      <c r="J232" t="s">
        <v>515</v>
      </c>
    </row>
    <row r="233" spans="1:10" ht="72" x14ac:dyDescent="0.3">
      <c r="A233">
        <v>399294</v>
      </c>
      <c r="B233">
        <v>2</v>
      </c>
      <c r="C233">
        <v>77</v>
      </c>
      <c r="D233" t="s">
        <v>515</v>
      </c>
      <c r="E233" t="s">
        <v>518</v>
      </c>
      <c r="F233" s="1" t="s">
        <v>519</v>
      </c>
      <c r="I233" s="1" t="s">
        <v>520</v>
      </c>
      <c r="J233">
        <v>77</v>
      </c>
    </row>
    <row r="234" spans="1:10" x14ac:dyDescent="0.3">
      <c r="A234">
        <v>399295</v>
      </c>
      <c r="B234">
        <v>3</v>
      </c>
      <c r="C234">
        <v>77.099999999999994</v>
      </c>
      <c r="D234">
        <v>77</v>
      </c>
      <c r="E234" t="s">
        <v>521</v>
      </c>
      <c r="J234">
        <v>771</v>
      </c>
    </row>
    <row r="235" spans="1:10" ht="43.2" x14ac:dyDescent="0.3">
      <c r="A235">
        <v>399296</v>
      </c>
      <c r="B235">
        <v>4</v>
      </c>
      <c r="C235">
        <v>77.11</v>
      </c>
      <c r="D235">
        <v>77.099999999999994</v>
      </c>
      <c r="E235" t="s">
        <v>522</v>
      </c>
      <c r="F235" s="1" t="s">
        <v>523</v>
      </c>
      <c r="I235" s="1" t="s">
        <v>524</v>
      </c>
      <c r="J235">
        <v>7710</v>
      </c>
    </row>
    <row r="236" spans="1:10" ht="57.6" x14ac:dyDescent="0.3">
      <c r="A236">
        <v>399297</v>
      </c>
      <c r="B236">
        <v>4</v>
      </c>
      <c r="C236">
        <v>77.12</v>
      </c>
      <c r="D236">
        <v>77.099999999999994</v>
      </c>
      <c r="E236" t="s">
        <v>525</v>
      </c>
      <c r="F236" s="1" t="s">
        <v>526</v>
      </c>
      <c r="I236" s="1" t="s">
        <v>527</v>
      </c>
      <c r="J236">
        <v>7710</v>
      </c>
    </row>
    <row r="237" spans="1:10" x14ac:dyDescent="0.3">
      <c r="A237">
        <v>399298</v>
      </c>
      <c r="B237">
        <v>3</v>
      </c>
      <c r="C237">
        <v>77.2</v>
      </c>
      <c r="D237">
        <v>77</v>
      </c>
      <c r="E237" t="s">
        <v>528</v>
      </c>
      <c r="F237" t="s">
        <v>529</v>
      </c>
      <c r="J237">
        <v>772</v>
      </c>
    </row>
    <row r="238" spans="1:10" ht="86.4" x14ac:dyDescent="0.3">
      <c r="A238">
        <v>399299</v>
      </c>
      <c r="B238">
        <v>4</v>
      </c>
      <c r="C238">
        <v>77.209999999999994</v>
      </c>
      <c r="D238">
        <v>77.2</v>
      </c>
      <c r="E238" t="s">
        <v>530</v>
      </c>
      <c r="F238" s="1" t="s">
        <v>531</v>
      </c>
      <c r="H238" t="e">
        <f>- rental of yachts without operator</f>
        <v>#NAME?</v>
      </c>
      <c r="I238" s="1" t="s">
        <v>532</v>
      </c>
      <c r="J238">
        <v>7721</v>
      </c>
    </row>
    <row r="239" spans="1:10" ht="28.8" x14ac:dyDescent="0.3">
      <c r="A239">
        <v>399300</v>
      </c>
      <c r="B239">
        <v>4</v>
      </c>
      <c r="C239">
        <v>77.22</v>
      </c>
      <c r="D239">
        <v>77.2</v>
      </c>
      <c r="E239" t="s">
        <v>533</v>
      </c>
      <c r="F239" s="1" t="s">
        <v>534</v>
      </c>
      <c r="J239">
        <v>7722</v>
      </c>
    </row>
    <row r="240" spans="1:10" ht="129.6" x14ac:dyDescent="0.3">
      <c r="A240">
        <v>399301</v>
      </c>
      <c r="B240">
        <v>4</v>
      </c>
      <c r="C240">
        <v>77.290000000000006</v>
      </c>
      <c r="D240">
        <v>77.2</v>
      </c>
      <c r="E240" t="s">
        <v>535</v>
      </c>
      <c r="F240" s="1" t="s">
        <v>536</v>
      </c>
      <c r="I240" s="1" t="s">
        <v>537</v>
      </c>
      <c r="J240">
        <v>7729</v>
      </c>
    </row>
    <row r="241" spans="1:10" x14ac:dyDescent="0.3">
      <c r="A241">
        <v>399302</v>
      </c>
      <c r="B241">
        <v>3</v>
      </c>
      <c r="C241">
        <v>77.3</v>
      </c>
      <c r="D241">
        <v>77</v>
      </c>
      <c r="E241" t="s">
        <v>538</v>
      </c>
      <c r="J241">
        <v>773</v>
      </c>
    </row>
    <row r="242" spans="1:10" ht="43.2" x14ac:dyDescent="0.3">
      <c r="A242">
        <v>399303</v>
      </c>
      <c r="B242">
        <v>4</v>
      </c>
      <c r="C242">
        <v>77.31</v>
      </c>
      <c r="D242">
        <v>77.3</v>
      </c>
      <c r="E242" t="s">
        <v>539</v>
      </c>
      <c r="F242" s="1" t="s">
        <v>540</v>
      </c>
      <c r="I242" s="1" t="s">
        <v>541</v>
      </c>
      <c r="J242">
        <v>7730</v>
      </c>
    </row>
    <row r="243" spans="1:10" ht="57.6" x14ac:dyDescent="0.3">
      <c r="A243">
        <v>399304</v>
      </c>
      <c r="B243">
        <v>4</v>
      </c>
      <c r="C243">
        <v>77.319999999999993</v>
      </c>
      <c r="D243">
        <v>77.3</v>
      </c>
      <c r="E243" t="s">
        <v>542</v>
      </c>
      <c r="F243" s="1" t="s">
        <v>543</v>
      </c>
      <c r="I243" s="1" t="s">
        <v>544</v>
      </c>
      <c r="J243">
        <v>7730</v>
      </c>
    </row>
    <row r="244" spans="1:10" ht="86.4" x14ac:dyDescent="0.3">
      <c r="A244">
        <v>399305</v>
      </c>
      <c r="B244">
        <v>4</v>
      </c>
      <c r="C244">
        <v>77.33</v>
      </c>
      <c r="D244">
        <v>77.3</v>
      </c>
      <c r="E244" t="s">
        <v>545</v>
      </c>
      <c r="F244" s="1" t="s">
        <v>546</v>
      </c>
      <c r="J244">
        <v>7730</v>
      </c>
    </row>
    <row r="245" spans="1:10" ht="43.2" x14ac:dyDescent="0.3">
      <c r="A245">
        <v>399306</v>
      </c>
      <c r="B245">
        <v>4</v>
      </c>
      <c r="C245">
        <v>77.34</v>
      </c>
      <c r="D245">
        <v>77.3</v>
      </c>
      <c r="E245" t="s">
        <v>547</v>
      </c>
      <c r="F245" s="1" t="s">
        <v>548</v>
      </c>
      <c r="I245" s="1" t="s">
        <v>549</v>
      </c>
      <c r="J245">
        <v>7730</v>
      </c>
    </row>
    <row r="246" spans="1:10" ht="57.6" x14ac:dyDescent="0.3">
      <c r="A246">
        <v>399307</v>
      </c>
      <c r="B246">
        <v>4</v>
      </c>
      <c r="C246">
        <v>77.349999999999994</v>
      </c>
      <c r="D246">
        <v>77.3</v>
      </c>
      <c r="E246" t="s">
        <v>550</v>
      </c>
      <c r="F246" s="1" t="s">
        <v>551</v>
      </c>
      <c r="I246" s="1" t="s">
        <v>552</v>
      </c>
      <c r="J246">
        <v>7730</v>
      </c>
    </row>
    <row r="247" spans="1:10" ht="172.8" x14ac:dyDescent="0.3">
      <c r="A247">
        <v>399308</v>
      </c>
      <c r="B247">
        <v>4</v>
      </c>
      <c r="C247">
        <v>77.39</v>
      </c>
      <c r="D247">
        <v>77.3</v>
      </c>
      <c r="E247" t="s">
        <v>553</v>
      </c>
      <c r="F247" s="1" t="s">
        <v>554</v>
      </c>
      <c r="G247" s="1" t="s">
        <v>555</v>
      </c>
      <c r="I247" s="1" t="s">
        <v>556</v>
      </c>
      <c r="J247">
        <v>7730</v>
      </c>
    </row>
    <row r="248" spans="1:10" x14ac:dyDescent="0.3">
      <c r="A248">
        <v>399309</v>
      </c>
      <c r="B248">
        <v>3</v>
      </c>
      <c r="C248">
        <v>77.400000000000006</v>
      </c>
      <c r="D248">
        <v>77</v>
      </c>
      <c r="E248" t="s">
        <v>557</v>
      </c>
      <c r="J248">
        <v>774</v>
      </c>
    </row>
    <row r="249" spans="1:10" ht="158.4" x14ac:dyDescent="0.3">
      <c r="A249">
        <v>399310</v>
      </c>
      <c r="B249">
        <v>4</v>
      </c>
      <c r="C249">
        <v>77.400000000000006</v>
      </c>
      <c r="D249">
        <v>77.400000000000006</v>
      </c>
      <c r="E249" t="s">
        <v>557</v>
      </c>
      <c r="F249" s="1" t="s">
        <v>558</v>
      </c>
      <c r="H249" t="e">
        <f>- Lease or sale of scientific research results</f>
        <v>#NAME?</v>
      </c>
      <c r="I249" s="1" t="s">
        <v>559</v>
      </c>
      <c r="J249">
        <v>7740</v>
      </c>
    </row>
    <row r="250" spans="1:10" ht="86.4" x14ac:dyDescent="0.3">
      <c r="A250">
        <v>399311</v>
      </c>
      <c r="B250">
        <v>2</v>
      </c>
      <c r="C250">
        <v>78</v>
      </c>
      <c r="D250" t="s">
        <v>515</v>
      </c>
      <c r="E250" t="s">
        <v>560</v>
      </c>
      <c r="F250" s="1" t="s">
        <v>561</v>
      </c>
      <c r="I250" s="1" t="s">
        <v>562</v>
      </c>
      <c r="J250">
        <v>78</v>
      </c>
    </row>
    <row r="251" spans="1:10" x14ac:dyDescent="0.3">
      <c r="A251">
        <v>399312</v>
      </c>
      <c r="B251">
        <v>3</v>
      </c>
      <c r="C251">
        <v>78.099999999999994</v>
      </c>
      <c r="D251">
        <v>78</v>
      </c>
      <c r="E251" t="s">
        <v>563</v>
      </c>
      <c r="J251">
        <v>781</v>
      </c>
    </row>
    <row r="252" spans="1:10" ht="86.4" x14ac:dyDescent="0.3">
      <c r="A252">
        <v>399313</v>
      </c>
      <c r="B252">
        <v>4</v>
      </c>
      <c r="C252">
        <v>78.099999999999994</v>
      </c>
      <c r="D252">
        <v>78.099999999999994</v>
      </c>
      <c r="E252" t="s">
        <v>563</v>
      </c>
      <c r="F252" s="1" t="s">
        <v>564</v>
      </c>
      <c r="H252" t="e">
        <f>- sports talent scout</f>
        <v>#NAME?</v>
      </c>
      <c r="I252" s="1" t="s">
        <v>565</v>
      </c>
      <c r="J252">
        <v>7810</v>
      </c>
    </row>
    <row r="253" spans="1:10" x14ac:dyDescent="0.3">
      <c r="A253">
        <v>399314</v>
      </c>
      <c r="B253">
        <v>3</v>
      </c>
      <c r="C253">
        <v>78.2</v>
      </c>
      <c r="D253">
        <v>78</v>
      </c>
      <c r="E253" t="s">
        <v>566</v>
      </c>
      <c r="J253">
        <v>782</v>
      </c>
    </row>
    <row r="254" spans="1:10" x14ac:dyDescent="0.3">
      <c r="A254">
        <v>399315</v>
      </c>
      <c r="B254">
        <v>4</v>
      </c>
      <c r="C254">
        <v>78.2</v>
      </c>
      <c r="D254">
        <v>78.2</v>
      </c>
      <c r="E254" t="s">
        <v>566</v>
      </c>
      <c r="F254" t="s">
        <v>567</v>
      </c>
      <c r="J254">
        <v>7820</v>
      </c>
    </row>
    <row r="255" spans="1:10" x14ac:dyDescent="0.3">
      <c r="A255">
        <v>399316</v>
      </c>
      <c r="B255">
        <v>3</v>
      </c>
      <c r="C255">
        <v>78.3</v>
      </c>
      <c r="D255">
        <v>78</v>
      </c>
      <c r="E255" t="s">
        <v>568</v>
      </c>
      <c r="J255">
        <v>783</v>
      </c>
    </row>
    <row r="256" spans="1:10" ht="57.6" x14ac:dyDescent="0.3">
      <c r="A256">
        <v>399317</v>
      </c>
      <c r="B256">
        <v>4</v>
      </c>
      <c r="C256">
        <v>78.3</v>
      </c>
      <c r="D256">
        <v>78.3</v>
      </c>
      <c r="E256" t="s">
        <v>568</v>
      </c>
      <c r="F256" s="1" t="s">
        <v>569</v>
      </c>
      <c r="I256" s="1" t="s">
        <v>570</v>
      </c>
      <c r="J256">
        <v>7830</v>
      </c>
    </row>
    <row r="257" spans="1:10" x14ac:dyDescent="0.3">
      <c r="A257">
        <v>399318</v>
      </c>
      <c r="B257">
        <v>2</v>
      </c>
      <c r="C257">
        <v>79</v>
      </c>
      <c r="D257" t="s">
        <v>515</v>
      </c>
      <c r="E257" t="s">
        <v>571</v>
      </c>
      <c r="F257" t="s">
        <v>572</v>
      </c>
      <c r="G257" t="s">
        <v>573</v>
      </c>
      <c r="J257">
        <v>79</v>
      </c>
    </row>
    <row r="258" spans="1:10" x14ac:dyDescent="0.3">
      <c r="A258">
        <v>399319</v>
      </c>
      <c r="B258">
        <v>3</v>
      </c>
      <c r="C258">
        <v>79.099999999999994</v>
      </c>
      <c r="D258">
        <v>79</v>
      </c>
      <c r="E258" t="s">
        <v>574</v>
      </c>
      <c r="F258" t="s">
        <v>575</v>
      </c>
      <c r="J258">
        <v>791</v>
      </c>
    </row>
    <row r="259" spans="1:10" ht="28.8" x14ac:dyDescent="0.3">
      <c r="A259">
        <v>399320</v>
      </c>
      <c r="B259">
        <v>4</v>
      </c>
      <c r="C259">
        <v>79.11</v>
      </c>
      <c r="D259">
        <v>79.099999999999994</v>
      </c>
      <c r="E259" t="s">
        <v>576</v>
      </c>
      <c r="F259" s="1" t="s">
        <v>577</v>
      </c>
      <c r="J259">
        <v>7911</v>
      </c>
    </row>
    <row r="260" spans="1:10" ht="86.4" x14ac:dyDescent="0.3">
      <c r="A260">
        <v>399321</v>
      </c>
      <c r="B260">
        <v>4</v>
      </c>
      <c r="C260">
        <v>79.12</v>
      </c>
      <c r="D260">
        <v>79.099999999999994</v>
      </c>
      <c r="E260" t="s">
        <v>578</v>
      </c>
      <c r="F260" s="1" t="s">
        <v>579</v>
      </c>
      <c r="J260">
        <v>7912</v>
      </c>
    </row>
    <row r="261" spans="1:10" x14ac:dyDescent="0.3">
      <c r="A261">
        <v>399322</v>
      </c>
      <c r="B261">
        <v>3</v>
      </c>
      <c r="C261">
        <v>79.900000000000006</v>
      </c>
      <c r="D261">
        <v>79</v>
      </c>
      <c r="E261" t="s">
        <v>580</v>
      </c>
      <c r="J261">
        <v>799</v>
      </c>
    </row>
    <row r="262" spans="1:10" ht="129.6" x14ac:dyDescent="0.3">
      <c r="A262">
        <v>399323</v>
      </c>
      <c r="B262">
        <v>4</v>
      </c>
      <c r="C262">
        <v>79.900000000000006</v>
      </c>
      <c r="D262">
        <v>79.900000000000006</v>
      </c>
      <c r="E262" t="s">
        <v>580</v>
      </c>
      <c r="F262" s="1" t="s">
        <v>581</v>
      </c>
      <c r="I262" s="1" t="s">
        <v>582</v>
      </c>
      <c r="J262">
        <v>7990</v>
      </c>
    </row>
    <row r="263" spans="1:10" x14ac:dyDescent="0.3">
      <c r="A263">
        <v>399324</v>
      </c>
      <c r="B263">
        <v>2</v>
      </c>
      <c r="C263">
        <v>80</v>
      </c>
      <c r="D263" t="s">
        <v>515</v>
      </c>
      <c r="E263" t="s">
        <v>583</v>
      </c>
      <c r="F263" t="s">
        <v>584</v>
      </c>
      <c r="J263">
        <v>80</v>
      </c>
    </row>
    <row r="264" spans="1:10" x14ac:dyDescent="0.3">
      <c r="A264">
        <v>399325</v>
      </c>
      <c r="B264">
        <v>3</v>
      </c>
      <c r="C264">
        <v>80.099999999999994</v>
      </c>
      <c r="D264">
        <v>80</v>
      </c>
      <c r="E264" t="s">
        <v>585</v>
      </c>
      <c r="J264">
        <v>801</v>
      </c>
    </row>
    <row r="265" spans="1:10" ht="129.6" x14ac:dyDescent="0.3">
      <c r="A265">
        <v>399326</v>
      </c>
      <c r="B265">
        <v>4</v>
      </c>
      <c r="C265">
        <v>80.099999999999994</v>
      </c>
      <c r="D265">
        <v>80.099999999999994</v>
      </c>
      <c r="E265" t="s">
        <v>585</v>
      </c>
      <c r="F265" s="1" t="s">
        <v>586</v>
      </c>
      <c r="H265" t="e">
        <f>- Support services to Cash Collection and deposit services</f>
        <v>#NAME?</v>
      </c>
      <c r="I265" s="1" t="s">
        <v>587</v>
      </c>
      <c r="J265">
        <v>8010</v>
      </c>
    </row>
    <row r="266" spans="1:10" x14ac:dyDescent="0.3">
      <c r="A266">
        <v>399327</v>
      </c>
      <c r="B266">
        <v>3</v>
      </c>
      <c r="C266">
        <v>80.2</v>
      </c>
      <c r="D266">
        <v>80</v>
      </c>
      <c r="E266" t="s">
        <v>588</v>
      </c>
      <c r="J266">
        <v>802</v>
      </c>
    </row>
    <row r="267" spans="1:10" ht="86.4" x14ac:dyDescent="0.3">
      <c r="A267">
        <v>399328</v>
      </c>
      <c r="B267">
        <v>4</v>
      </c>
      <c r="C267">
        <v>80.2</v>
      </c>
      <c r="D267">
        <v>80.2</v>
      </c>
      <c r="E267" t="s">
        <v>588</v>
      </c>
      <c r="F267" s="1" t="s">
        <v>589</v>
      </c>
      <c r="I267" s="1" t="s">
        <v>590</v>
      </c>
      <c r="J267">
        <v>8020</v>
      </c>
    </row>
    <row r="268" spans="1:10" x14ac:dyDescent="0.3">
      <c r="A268">
        <v>399329</v>
      </c>
      <c r="B268">
        <v>3</v>
      </c>
      <c r="C268">
        <v>80.3</v>
      </c>
      <c r="D268">
        <v>80</v>
      </c>
      <c r="E268" t="s">
        <v>591</v>
      </c>
      <c r="J268">
        <v>803</v>
      </c>
    </row>
    <row r="269" spans="1:10" ht="43.2" x14ac:dyDescent="0.3">
      <c r="A269">
        <v>399330</v>
      </c>
      <c r="B269">
        <v>4</v>
      </c>
      <c r="C269">
        <v>80.3</v>
      </c>
      <c r="D269">
        <v>80.3</v>
      </c>
      <c r="E269" t="s">
        <v>591</v>
      </c>
      <c r="F269" s="1" t="s">
        <v>592</v>
      </c>
      <c r="J269">
        <v>8030</v>
      </c>
    </row>
    <row r="270" spans="1:10" x14ac:dyDescent="0.3">
      <c r="A270">
        <v>399331</v>
      </c>
      <c r="B270">
        <v>2</v>
      </c>
      <c r="C270">
        <v>81</v>
      </c>
      <c r="D270" t="s">
        <v>515</v>
      </c>
      <c r="E270" t="s">
        <v>593</v>
      </c>
      <c r="F270" t="s">
        <v>594</v>
      </c>
      <c r="J270">
        <v>81</v>
      </c>
    </row>
    <row r="271" spans="1:10" x14ac:dyDescent="0.3">
      <c r="A271">
        <v>399332</v>
      </c>
      <c r="B271">
        <v>3</v>
      </c>
      <c r="C271">
        <v>81.099999999999994</v>
      </c>
      <c r="D271">
        <v>81</v>
      </c>
      <c r="E271" t="s">
        <v>595</v>
      </c>
      <c r="J271">
        <v>811</v>
      </c>
    </row>
    <row r="272" spans="1:10" ht="72" x14ac:dyDescent="0.3">
      <c r="A272">
        <v>399333</v>
      </c>
      <c r="B272">
        <v>4</v>
      </c>
      <c r="C272">
        <v>81.099999999999994</v>
      </c>
      <c r="D272">
        <v>81.099999999999994</v>
      </c>
      <c r="E272" t="s">
        <v>595</v>
      </c>
      <c r="F272" t="s">
        <v>596</v>
      </c>
      <c r="I272" s="1" t="s">
        <v>597</v>
      </c>
      <c r="J272">
        <v>8110</v>
      </c>
    </row>
    <row r="273" spans="1:10" ht="72" x14ac:dyDescent="0.3">
      <c r="A273">
        <v>399334</v>
      </c>
      <c r="B273">
        <v>3</v>
      </c>
      <c r="C273">
        <v>81.2</v>
      </c>
      <c r="D273">
        <v>81</v>
      </c>
      <c r="E273" t="s">
        <v>598</v>
      </c>
      <c r="F273" t="s">
        <v>599</v>
      </c>
      <c r="I273" s="1" t="s">
        <v>600</v>
      </c>
      <c r="J273">
        <v>812</v>
      </c>
    </row>
    <row r="274" spans="1:10" ht="144" x14ac:dyDescent="0.3">
      <c r="A274">
        <v>399335</v>
      </c>
      <c r="B274">
        <v>4</v>
      </c>
      <c r="C274">
        <v>81.209999999999994</v>
      </c>
      <c r="D274">
        <v>81.2</v>
      </c>
      <c r="E274" t="s">
        <v>601</v>
      </c>
      <c r="F274" s="1" t="s">
        <v>602</v>
      </c>
      <c r="I274" s="1" t="s">
        <v>603</v>
      </c>
      <c r="J274">
        <v>8121</v>
      </c>
    </row>
    <row r="275" spans="1:10" ht="72" x14ac:dyDescent="0.3">
      <c r="A275">
        <v>399336</v>
      </c>
      <c r="B275">
        <v>4</v>
      </c>
      <c r="C275">
        <v>81.22</v>
      </c>
      <c r="D275">
        <v>81.2</v>
      </c>
      <c r="E275" t="s">
        <v>604</v>
      </c>
      <c r="F275" s="1" t="s">
        <v>605</v>
      </c>
      <c r="H275" t="e">
        <f>- cleaning of water supply pipelines</f>
        <v>#NAME?</v>
      </c>
      <c r="I275" s="1" t="s">
        <v>606</v>
      </c>
      <c r="J275">
        <v>8129</v>
      </c>
    </row>
    <row r="276" spans="1:10" ht="115.2" x14ac:dyDescent="0.3">
      <c r="A276">
        <v>399337</v>
      </c>
      <c r="B276">
        <v>4</v>
      </c>
      <c r="C276">
        <v>81.290000000000006</v>
      </c>
      <c r="D276">
        <v>81.2</v>
      </c>
      <c r="E276" t="s">
        <v>607</v>
      </c>
      <c r="F276" s="1" t="s">
        <v>608</v>
      </c>
      <c r="I276" s="1" t="s">
        <v>609</v>
      </c>
      <c r="J276">
        <v>8129</v>
      </c>
    </row>
    <row r="277" spans="1:10" x14ac:dyDescent="0.3">
      <c r="A277">
        <v>399338</v>
      </c>
      <c r="B277">
        <v>3</v>
      </c>
      <c r="C277">
        <v>81.3</v>
      </c>
      <c r="D277">
        <v>81</v>
      </c>
      <c r="E277" t="s">
        <v>610</v>
      </c>
      <c r="J277">
        <v>813</v>
      </c>
    </row>
    <row r="278" spans="1:10" ht="187.2" x14ac:dyDescent="0.3">
      <c r="A278">
        <v>399339</v>
      </c>
      <c r="B278">
        <v>4</v>
      </c>
      <c r="C278">
        <v>81.3</v>
      </c>
      <c r="D278">
        <v>81.3</v>
      </c>
      <c r="E278" t="s">
        <v>610</v>
      </c>
      <c r="F278" s="1" t="s">
        <v>611</v>
      </c>
      <c r="I278" s="1" t="s">
        <v>612</v>
      </c>
      <c r="J278">
        <v>8130</v>
      </c>
    </row>
    <row r="279" spans="1:10" x14ac:dyDescent="0.3">
      <c r="A279">
        <v>399340</v>
      </c>
      <c r="B279">
        <v>2</v>
      </c>
      <c r="C279">
        <v>82</v>
      </c>
      <c r="D279" t="s">
        <v>515</v>
      </c>
      <c r="E279" t="s">
        <v>613</v>
      </c>
      <c r="F279" t="s">
        <v>614</v>
      </c>
      <c r="G279" t="s">
        <v>615</v>
      </c>
      <c r="I279" t="s">
        <v>616</v>
      </c>
      <c r="J279">
        <v>82</v>
      </c>
    </row>
    <row r="280" spans="1:10" x14ac:dyDescent="0.3">
      <c r="A280">
        <v>399341</v>
      </c>
      <c r="B280">
        <v>3</v>
      </c>
      <c r="C280">
        <v>82.1</v>
      </c>
      <c r="D280">
        <v>82</v>
      </c>
      <c r="E280" t="s">
        <v>617</v>
      </c>
      <c r="F280" t="s">
        <v>618</v>
      </c>
      <c r="G280" t="s">
        <v>619</v>
      </c>
      <c r="I280" t="s">
        <v>620</v>
      </c>
      <c r="J280">
        <v>821</v>
      </c>
    </row>
    <row r="281" spans="1:10" ht="43.2" x14ac:dyDescent="0.3">
      <c r="A281">
        <v>399342</v>
      </c>
      <c r="B281">
        <v>4</v>
      </c>
      <c r="C281">
        <v>82.11</v>
      </c>
      <c r="D281">
        <v>82.1</v>
      </c>
      <c r="E281" t="s">
        <v>621</v>
      </c>
      <c r="F281" t="s">
        <v>622</v>
      </c>
      <c r="I281" s="1" t="s">
        <v>623</v>
      </c>
      <c r="J281">
        <v>8211</v>
      </c>
    </row>
    <row r="282" spans="1:10" ht="201.6" x14ac:dyDescent="0.3">
      <c r="A282">
        <v>399343</v>
      </c>
      <c r="B282">
        <v>4</v>
      </c>
      <c r="C282">
        <v>82.19</v>
      </c>
      <c r="D282">
        <v>82.1</v>
      </c>
      <c r="E282" t="s">
        <v>624</v>
      </c>
      <c r="F282" s="1" t="s">
        <v>625</v>
      </c>
      <c r="H282" t="e">
        <f>- Document and image scanning activities
- Formatting of eBooks
- Document Preparation and pre-archiving</f>
        <v>#NAME?</v>
      </c>
      <c r="I282" s="1" t="s">
        <v>626</v>
      </c>
      <c r="J282">
        <v>8219</v>
      </c>
    </row>
    <row r="283" spans="1:10" x14ac:dyDescent="0.3">
      <c r="A283">
        <v>399344</v>
      </c>
      <c r="B283">
        <v>3</v>
      </c>
      <c r="C283">
        <v>82.2</v>
      </c>
      <c r="D283">
        <v>82</v>
      </c>
      <c r="E283" t="s">
        <v>627</v>
      </c>
      <c r="J283">
        <v>822</v>
      </c>
    </row>
    <row r="284" spans="1:10" ht="57.6" x14ac:dyDescent="0.3">
      <c r="A284">
        <v>399345</v>
      </c>
      <c r="B284">
        <v>4</v>
      </c>
      <c r="C284">
        <v>82.2</v>
      </c>
      <c r="D284">
        <v>82.2</v>
      </c>
      <c r="E284" t="s">
        <v>627</v>
      </c>
      <c r="F284" s="1" t="s">
        <v>628</v>
      </c>
      <c r="J284">
        <v>8220</v>
      </c>
    </row>
    <row r="285" spans="1:10" x14ac:dyDescent="0.3">
      <c r="A285">
        <v>399346</v>
      </c>
      <c r="B285">
        <v>3</v>
      </c>
      <c r="C285">
        <v>82.3</v>
      </c>
      <c r="D285">
        <v>82</v>
      </c>
      <c r="E285" t="s">
        <v>629</v>
      </c>
      <c r="J285">
        <v>823</v>
      </c>
    </row>
    <row r="286" spans="1:10" x14ac:dyDescent="0.3">
      <c r="A286">
        <v>399347</v>
      </c>
      <c r="B286">
        <v>4</v>
      </c>
      <c r="C286">
        <v>82.3</v>
      </c>
      <c r="D286">
        <v>82.3</v>
      </c>
      <c r="E286" t="s">
        <v>629</v>
      </c>
      <c r="F286" t="s">
        <v>630</v>
      </c>
      <c r="J286">
        <v>8230</v>
      </c>
    </row>
    <row r="287" spans="1:10" x14ac:dyDescent="0.3">
      <c r="A287">
        <v>399348</v>
      </c>
      <c r="B287">
        <v>3</v>
      </c>
      <c r="C287">
        <v>82.9</v>
      </c>
      <c r="D287">
        <v>82</v>
      </c>
      <c r="E287" t="s">
        <v>631</v>
      </c>
      <c r="F287" t="s">
        <v>632</v>
      </c>
      <c r="J287">
        <v>829</v>
      </c>
    </row>
    <row r="288" spans="1:10" ht="43.2" x14ac:dyDescent="0.3">
      <c r="A288">
        <v>399349</v>
      </c>
      <c r="B288">
        <v>4</v>
      </c>
      <c r="C288">
        <v>82.91</v>
      </c>
      <c r="D288">
        <v>82.9</v>
      </c>
      <c r="E288" t="s">
        <v>633</v>
      </c>
      <c r="F288" s="1" t="s">
        <v>634</v>
      </c>
      <c r="H288" t="e">
        <f>- credit score information compilation activities</f>
        <v>#NAME?</v>
      </c>
      <c r="J288">
        <v>8291</v>
      </c>
    </row>
    <row r="289" spans="1:10" ht="100.8" x14ac:dyDescent="0.3">
      <c r="A289">
        <v>399350</v>
      </c>
      <c r="B289">
        <v>4</v>
      </c>
      <c r="C289">
        <v>82.92</v>
      </c>
      <c r="D289">
        <v>82.9</v>
      </c>
      <c r="E289" t="s">
        <v>635</v>
      </c>
      <c r="F289" s="1" t="s">
        <v>636</v>
      </c>
      <c r="H289" t="e">
        <f>- Potato powder/flakes packaging under inert atmosphere
- Sterilisation by ionisation</f>
        <v>#NAME?</v>
      </c>
      <c r="I289" s="1" t="s">
        <v>637</v>
      </c>
      <c r="J289">
        <v>8292</v>
      </c>
    </row>
    <row r="290" spans="1:10" ht="187.2" x14ac:dyDescent="0.3">
      <c r="A290">
        <v>399351</v>
      </c>
      <c r="B290">
        <v>4</v>
      </c>
      <c r="C290">
        <v>82.99</v>
      </c>
      <c r="D290">
        <v>82.9</v>
      </c>
      <c r="E290" t="s">
        <v>638</v>
      </c>
      <c r="F290" s="1" t="s">
        <v>639</v>
      </c>
      <c r="H290" t="e">
        <f>- Restaurant voucher handling service activities
- Providing assistance in motor vehicle registration
- Relocation service activities
- Leisure activities gift package Administration
- voucher issuing and handling activities
- Charity crowd funding</f>
        <v>#NAME?</v>
      </c>
      <c r="I290" s="1" t="s">
        <v>640</v>
      </c>
      <c r="J290">
        <v>8299</v>
      </c>
    </row>
    <row r="291" spans="1:10" ht="86.4" x14ac:dyDescent="0.3">
      <c r="A291">
        <v>399352</v>
      </c>
      <c r="B291">
        <v>1</v>
      </c>
      <c r="C291" t="s">
        <v>641</v>
      </c>
      <c r="E291" t="s">
        <v>642</v>
      </c>
      <c r="F291" s="1" t="s">
        <v>643</v>
      </c>
      <c r="G291" t="s">
        <v>644</v>
      </c>
      <c r="J291" t="s">
        <v>641</v>
      </c>
    </row>
    <row r="292" spans="1:10" x14ac:dyDescent="0.3">
      <c r="A292">
        <v>399353</v>
      </c>
      <c r="B292">
        <v>2</v>
      </c>
      <c r="C292">
        <v>84</v>
      </c>
      <c r="D292" t="s">
        <v>641</v>
      </c>
      <c r="E292" t="s">
        <v>645</v>
      </c>
      <c r="J292">
        <v>84</v>
      </c>
    </row>
    <row r="293" spans="1:10" x14ac:dyDescent="0.3">
      <c r="A293">
        <v>399354</v>
      </c>
      <c r="B293">
        <v>3</v>
      </c>
      <c r="C293">
        <v>84.1</v>
      </c>
      <c r="D293">
        <v>84</v>
      </c>
      <c r="E293" t="s">
        <v>646</v>
      </c>
      <c r="F293" t="s">
        <v>647</v>
      </c>
      <c r="J293">
        <v>841</v>
      </c>
    </row>
    <row r="294" spans="1:10" ht="144" x14ac:dyDescent="0.3">
      <c r="A294">
        <v>399355</v>
      </c>
      <c r="B294">
        <v>4</v>
      </c>
      <c r="C294">
        <v>84.11</v>
      </c>
      <c r="D294">
        <v>84.1</v>
      </c>
      <c r="E294" t="s">
        <v>648</v>
      </c>
      <c r="F294" s="1" t="s">
        <v>649</v>
      </c>
      <c r="I294" s="1" t="s">
        <v>650</v>
      </c>
      <c r="J294">
        <v>8411</v>
      </c>
    </row>
    <row r="295" spans="1:10" ht="158.4" x14ac:dyDescent="0.3">
      <c r="A295">
        <v>399356</v>
      </c>
      <c r="B295">
        <v>4</v>
      </c>
      <c r="C295">
        <v>84.12</v>
      </c>
      <c r="D295">
        <v>84.1</v>
      </c>
      <c r="E295" t="s">
        <v>651</v>
      </c>
      <c r="F295" s="1" t="s">
        <v>652</v>
      </c>
      <c r="G295" s="1" t="s">
        <v>653</v>
      </c>
      <c r="I295" s="1" t="s">
        <v>654</v>
      </c>
      <c r="J295">
        <v>8412</v>
      </c>
    </row>
    <row r="296" spans="1:10" ht="187.2" x14ac:dyDescent="0.3">
      <c r="A296">
        <v>399357</v>
      </c>
      <c r="B296">
        <v>4</v>
      </c>
      <c r="C296">
        <v>84.13</v>
      </c>
      <c r="D296">
        <v>84.1</v>
      </c>
      <c r="E296" t="s">
        <v>655</v>
      </c>
      <c r="F296" s="1" t="s">
        <v>656</v>
      </c>
      <c r="I296" s="1" t="s">
        <v>657</v>
      </c>
      <c r="J296">
        <v>8413</v>
      </c>
    </row>
    <row r="297" spans="1:10" x14ac:dyDescent="0.3">
      <c r="A297">
        <v>399358</v>
      </c>
      <c r="B297">
        <v>3</v>
      </c>
      <c r="C297">
        <v>84.2</v>
      </c>
      <c r="D297">
        <v>84</v>
      </c>
      <c r="E297" t="s">
        <v>658</v>
      </c>
      <c r="F297" t="s">
        <v>659</v>
      </c>
      <c r="J297">
        <v>842</v>
      </c>
    </row>
    <row r="298" spans="1:10" ht="86.4" x14ac:dyDescent="0.3">
      <c r="A298">
        <v>399359</v>
      </c>
      <c r="B298">
        <v>4</v>
      </c>
      <c r="C298">
        <v>84.21</v>
      </c>
      <c r="D298">
        <v>84.2</v>
      </c>
      <c r="E298" t="s">
        <v>660</v>
      </c>
      <c r="F298" s="1" t="s">
        <v>661</v>
      </c>
      <c r="I298" s="1" t="s">
        <v>662</v>
      </c>
      <c r="J298">
        <v>8421</v>
      </c>
    </row>
    <row r="299" spans="1:10" ht="144" x14ac:dyDescent="0.3">
      <c r="A299">
        <v>399360</v>
      </c>
      <c r="B299">
        <v>4</v>
      </c>
      <c r="C299">
        <v>84.22</v>
      </c>
      <c r="D299">
        <v>84.2</v>
      </c>
      <c r="E299" t="s">
        <v>663</v>
      </c>
      <c r="F299" s="1" t="s">
        <v>664</v>
      </c>
      <c r="I299" s="1" t="s">
        <v>665</v>
      </c>
      <c r="J299">
        <v>8422</v>
      </c>
    </row>
    <row r="300" spans="1:10" ht="72" x14ac:dyDescent="0.3">
      <c r="A300">
        <v>399361</v>
      </c>
      <c r="B300">
        <v>4</v>
      </c>
      <c r="C300">
        <v>84.23</v>
      </c>
      <c r="D300">
        <v>84.2</v>
      </c>
      <c r="E300" t="s">
        <v>666</v>
      </c>
      <c r="F300" s="1" t="s">
        <v>667</v>
      </c>
      <c r="I300" s="1" t="s">
        <v>668</v>
      </c>
      <c r="J300">
        <v>8423</v>
      </c>
    </row>
    <row r="301" spans="1:10" ht="43.2" x14ac:dyDescent="0.3">
      <c r="A301">
        <v>399362</v>
      </c>
      <c r="B301">
        <v>4</v>
      </c>
      <c r="C301">
        <v>84.24</v>
      </c>
      <c r="D301">
        <v>84.2</v>
      </c>
      <c r="E301" t="s">
        <v>669</v>
      </c>
      <c r="F301" s="1" t="s">
        <v>670</v>
      </c>
      <c r="I301" s="1" t="s">
        <v>671</v>
      </c>
      <c r="J301">
        <v>8423</v>
      </c>
    </row>
    <row r="302" spans="1:10" ht="57.6" x14ac:dyDescent="0.3">
      <c r="A302">
        <v>399363</v>
      </c>
      <c r="B302">
        <v>4</v>
      </c>
      <c r="C302">
        <v>84.25</v>
      </c>
      <c r="D302">
        <v>84.2</v>
      </c>
      <c r="E302" t="s">
        <v>672</v>
      </c>
      <c r="F302" s="1" t="s">
        <v>673</v>
      </c>
      <c r="I302" s="1" t="s">
        <v>674</v>
      </c>
      <c r="J302">
        <v>8423</v>
      </c>
    </row>
    <row r="303" spans="1:10" x14ac:dyDescent="0.3">
      <c r="A303">
        <v>399364</v>
      </c>
      <c r="B303">
        <v>3</v>
      </c>
      <c r="C303">
        <v>84.3</v>
      </c>
      <c r="D303">
        <v>84</v>
      </c>
      <c r="E303" t="s">
        <v>675</v>
      </c>
      <c r="J303">
        <v>843</v>
      </c>
    </row>
    <row r="304" spans="1:10" ht="72" x14ac:dyDescent="0.3">
      <c r="A304">
        <v>399365</v>
      </c>
      <c r="B304">
        <v>4</v>
      </c>
      <c r="C304">
        <v>84.3</v>
      </c>
      <c r="D304">
        <v>84.3</v>
      </c>
      <c r="E304" t="s">
        <v>675</v>
      </c>
      <c r="F304" s="1" t="s">
        <v>676</v>
      </c>
      <c r="I304" s="1" t="s">
        <v>677</v>
      </c>
      <c r="J304">
        <v>8430</v>
      </c>
    </row>
    <row r="305" spans="1:10" ht="115.2" x14ac:dyDescent="0.3">
      <c r="A305">
        <v>399366</v>
      </c>
      <c r="B305">
        <v>1</v>
      </c>
      <c r="C305" t="s">
        <v>678</v>
      </c>
      <c r="E305" t="s">
        <v>679</v>
      </c>
      <c r="F305" s="1" t="s">
        <v>680</v>
      </c>
      <c r="G305" t="s">
        <v>681</v>
      </c>
      <c r="J305" t="s">
        <v>678</v>
      </c>
    </row>
    <row r="306" spans="1:10" x14ac:dyDescent="0.3">
      <c r="A306">
        <v>399367</v>
      </c>
      <c r="B306">
        <v>2</v>
      </c>
      <c r="C306">
        <v>85</v>
      </c>
      <c r="D306" t="s">
        <v>678</v>
      </c>
      <c r="E306" t="s">
        <v>682</v>
      </c>
      <c r="J306">
        <v>85</v>
      </c>
    </row>
    <row r="307" spans="1:10" x14ac:dyDescent="0.3">
      <c r="A307">
        <v>399368</v>
      </c>
      <c r="B307">
        <v>3</v>
      </c>
      <c r="C307">
        <v>85.1</v>
      </c>
      <c r="D307">
        <v>85</v>
      </c>
      <c r="E307" t="s">
        <v>683</v>
      </c>
      <c r="J307">
        <v>851</v>
      </c>
    </row>
    <row r="308" spans="1:10" ht="28.8" x14ac:dyDescent="0.3">
      <c r="A308">
        <v>399369</v>
      </c>
      <c r="B308">
        <v>4</v>
      </c>
      <c r="C308">
        <v>85.1</v>
      </c>
      <c r="D308">
        <v>85.1</v>
      </c>
      <c r="E308" t="s">
        <v>684</v>
      </c>
      <c r="F308" s="1" t="s">
        <v>685</v>
      </c>
      <c r="I308" s="1" t="s">
        <v>686</v>
      </c>
      <c r="J308">
        <v>8510</v>
      </c>
    </row>
    <row r="309" spans="1:10" x14ac:dyDescent="0.3">
      <c r="A309">
        <v>399370</v>
      </c>
      <c r="B309">
        <v>3</v>
      </c>
      <c r="C309">
        <v>85.2</v>
      </c>
      <c r="D309">
        <v>85</v>
      </c>
      <c r="E309" t="s">
        <v>687</v>
      </c>
      <c r="J309">
        <v>851</v>
      </c>
    </row>
    <row r="310" spans="1:10" ht="57.6" x14ac:dyDescent="0.3">
      <c r="A310">
        <v>399371</v>
      </c>
      <c r="B310">
        <v>4</v>
      </c>
      <c r="C310">
        <v>85.2</v>
      </c>
      <c r="D310">
        <v>85.2</v>
      </c>
      <c r="E310" t="s">
        <v>688</v>
      </c>
      <c r="F310" s="1" t="s">
        <v>689</v>
      </c>
      <c r="I310" s="1" t="s">
        <v>690</v>
      </c>
      <c r="J310">
        <v>8510</v>
      </c>
    </row>
    <row r="311" spans="1:10" ht="28.8" x14ac:dyDescent="0.3">
      <c r="A311">
        <v>399372</v>
      </c>
      <c r="B311">
        <v>3</v>
      </c>
      <c r="C311">
        <v>85.3</v>
      </c>
      <c r="D311">
        <v>85</v>
      </c>
      <c r="E311" t="s">
        <v>691</v>
      </c>
      <c r="F311" t="s">
        <v>692</v>
      </c>
      <c r="I311" s="1" t="s">
        <v>693</v>
      </c>
      <c r="J311">
        <v>852</v>
      </c>
    </row>
    <row r="312" spans="1:10" ht="129.6" x14ac:dyDescent="0.3">
      <c r="A312">
        <v>399373</v>
      </c>
      <c r="B312">
        <v>4</v>
      </c>
      <c r="C312">
        <v>85.31</v>
      </c>
      <c r="D312">
        <v>85.3</v>
      </c>
      <c r="E312" t="s">
        <v>694</v>
      </c>
      <c r="F312" s="1" t="s">
        <v>695</v>
      </c>
      <c r="J312">
        <v>8521</v>
      </c>
    </row>
    <row r="313" spans="1:10" ht="86.4" x14ac:dyDescent="0.3">
      <c r="A313">
        <v>399374</v>
      </c>
      <c r="B313">
        <v>4</v>
      </c>
      <c r="C313">
        <v>85.32</v>
      </c>
      <c r="D313">
        <v>85.3</v>
      </c>
      <c r="E313" t="s">
        <v>696</v>
      </c>
      <c r="F313" s="1" t="s">
        <v>697</v>
      </c>
      <c r="G313" s="1" t="s">
        <v>698</v>
      </c>
      <c r="I313" s="1" t="s">
        <v>699</v>
      </c>
      <c r="J313">
        <v>8522</v>
      </c>
    </row>
    <row r="314" spans="1:10" ht="28.8" x14ac:dyDescent="0.3">
      <c r="A314">
        <v>399375</v>
      </c>
      <c r="B314">
        <v>3</v>
      </c>
      <c r="C314">
        <v>85.4</v>
      </c>
      <c r="D314">
        <v>85</v>
      </c>
      <c r="E314" t="s">
        <v>700</v>
      </c>
      <c r="F314" t="s">
        <v>701</v>
      </c>
      <c r="I314" s="1" t="s">
        <v>693</v>
      </c>
      <c r="J314">
        <v>853</v>
      </c>
    </row>
    <row r="315" spans="1:10" x14ac:dyDescent="0.3">
      <c r="A315">
        <v>399376</v>
      </c>
      <c r="B315">
        <v>4</v>
      </c>
      <c r="C315">
        <v>85.41</v>
      </c>
      <c r="D315">
        <v>85.4</v>
      </c>
      <c r="E315" t="s">
        <v>702</v>
      </c>
      <c r="F315" t="s">
        <v>703</v>
      </c>
      <c r="J315">
        <v>8530</v>
      </c>
    </row>
    <row r="316" spans="1:10" ht="28.8" x14ac:dyDescent="0.3">
      <c r="A316">
        <v>399377</v>
      </c>
      <c r="B316">
        <v>4</v>
      </c>
      <c r="C316">
        <v>85.42</v>
      </c>
      <c r="D316">
        <v>85.4</v>
      </c>
      <c r="E316" t="s">
        <v>704</v>
      </c>
      <c r="F316" s="1" t="s">
        <v>705</v>
      </c>
      <c r="G316" s="1" t="s">
        <v>706</v>
      </c>
      <c r="J316">
        <v>8530</v>
      </c>
    </row>
    <row r="317" spans="1:10" ht="43.2" x14ac:dyDescent="0.3">
      <c r="A317">
        <v>399378</v>
      </c>
      <c r="B317">
        <v>3</v>
      </c>
      <c r="C317">
        <v>85.5</v>
      </c>
      <c r="D317">
        <v>85</v>
      </c>
      <c r="E317" t="s">
        <v>707</v>
      </c>
      <c r="F317" s="1" t="s">
        <v>708</v>
      </c>
      <c r="I317" t="s">
        <v>709</v>
      </c>
      <c r="J317">
        <v>854</v>
      </c>
    </row>
    <row r="318" spans="1:10" ht="187.2" x14ac:dyDescent="0.3">
      <c r="A318">
        <v>399379</v>
      </c>
      <c r="B318">
        <v>4</v>
      </c>
      <c r="C318">
        <v>85.51</v>
      </c>
      <c r="D318">
        <v>85.5</v>
      </c>
      <c r="E318" t="s">
        <v>710</v>
      </c>
      <c r="F318" s="1" t="s">
        <v>711</v>
      </c>
      <c r="I318" s="1" t="s">
        <v>712</v>
      </c>
      <c r="J318">
        <v>8541</v>
      </c>
    </row>
    <row r="319" spans="1:10" ht="158.4" x14ac:dyDescent="0.3">
      <c r="A319">
        <v>399380</v>
      </c>
      <c r="B319">
        <v>4</v>
      </c>
      <c r="C319">
        <v>85.52</v>
      </c>
      <c r="D319">
        <v>85.5</v>
      </c>
      <c r="E319" t="s">
        <v>713</v>
      </c>
      <c r="F319" s="1" t="s">
        <v>714</v>
      </c>
      <c r="I319" s="1" t="s">
        <v>715</v>
      </c>
      <c r="J319">
        <v>8542</v>
      </c>
    </row>
    <row r="320" spans="1:10" ht="28.8" x14ac:dyDescent="0.3">
      <c r="A320">
        <v>399381</v>
      </c>
      <c r="B320">
        <v>4</v>
      </c>
      <c r="C320">
        <v>85.53</v>
      </c>
      <c r="D320">
        <v>85.5</v>
      </c>
      <c r="E320" t="s">
        <v>716</v>
      </c>
      <c r="G320" s="1" t="s">
        <v>717</v>
      </c>
      <c r="I320" s="1" t="s">
        <v>718</v>
      </c>
      <c r="J320">
        <v>8549</v>
      </c>
    </row>
    <row r="321" spans="1:10" ht="115.2" x14ac:dyDescent="0.3">
      <c r="A321">
        <v>399382</v>
      </c>
      <c r="B321">
        <v>4</v>
      </c>
      <c r="C321">
        <v>85.59</v>
      </c>
      <c r="D321">
        <v>85.5</v>
      </c>
      <c r="E321" t="s">
        <v>719</v>
      </c>
      <c r="F321" s="1" t="s">
        <v>720</v>
      </c>
      <c r="G321" s="1" t="s">
        <v>721</v>
      </c>
      <c r="H321" t="e">
        <f>- Employee training</f>
        <v>#NAME?</v>
      </c>
      <c r="I321" s="1" t="s">
        <v>722</v>
      </c>
      <c r="J321">
        <v>8549</v>
      </c>
    </row>
    <row r="322" spans="1:10" x14ac:dyDescent="0.3">
      <c r="A322">
        <v>399383</v>
      </c>
      <c r="B322">
        <v>3</v>
      </c>
      <c r="C322">
        <v>85.6</v>
      </c>
      <c r="D322">
        <v>85</v>
      </c>
      <c r="E322" t="s">
        <v>723</v>
      </c>
      <c r="J322">
        <v>855</v>
      </c>
    </row>
    <row r="323" spans="1:10" ht="100.8" x14ac:dyDescent="0.3">
      <c r="A323">
        <v>399384</v>
      </c>
      <c r="B323">
        <v>4</v>
      </c>
      <c r="C323">
        <v>85.6</v>
      </c>
      <c r="D323">
        <v>85.6</v>
      </c>
      <c r="E323" t="s">
        <v>723</v>
      </c>
      <c r="F323" s="1" t="s">
        <v>724</v>
      </c>
      <c r="H323" t="e">
        <f>- Examination and Testing of pilots</f>
        <v>#NAME?</v>
      </c>
      <c r="I323" s="1" t="s">
        <v>725</v>
      </c>
      <c r="J323">
        <v>8550</v>
      </c>
    </row>
    <row r="324" spans="1:10" x14ac:dyDescent="0.3">
      <c r="A324">
        <v>399385</v>
      </c>
      <c r="B324">
        <v>1</v>
      </c>
      <c r="C324" t="s">
        <v>726</v>
      </c>
      <c r="E324" t="s">
        <v>727</v>
      </c>
      <c r="F324" t="s">
        <v>728</v>
      </c>
      <c r="J324" t="s">
        <v>726</v>
      </c>
    </row>
    <row r="325" spans="1:10" x14ac:dyDescent="0.3">
      <c r="A325">
        <v>399386</v>
      </c>
      <c r="B325">
        <v>2</v>
      </c>
      <c r="C325">
        <v>86</v>
      </c>
      <c r="D325" t="s">
        <v>726</v>
      </c>
      <c r="E325" t="s">
        <v>729</v>
      </c>
      <c r="F325" t="s">
        <v>730</v>
      </c>
      <c r="G325" t="s">
        <v>731</v>
      </c>
      <c r="J325">
        <v>86</v>
      </c>
    </row>
    <row r="326" spans="1:10" x14ac:dyDescent="0.3">
      <c r="A326">
        <v>399387</v>
      </c>
      <c r="B326">
        <v>3</v>
      </c>
      <c r="C326">
        <v>86.1</v>
      </c>
      <c r="D326">
        <v>86</v>
      </c>
      <c r="E326" t="s">
        <v>732</v>
      </c>
      <c r="J326">
        <v>861</v>
      </c>
    </row>
    <row r="327" spans="1:10" ht="144" x14ac:dyDescent="0.3">
      <c r="A327">
        <v>399388</v>
      </c>
      <c r="B327">
        <v>4</v>
      </c>
      <c r="C327">
        <v>86.1</v>
      </c>
      <c r="D327">
        <v>86.1</v>
      </c>
      <c r="E327" t="s">
        <v>732</v>
      </c>
      <c r="F327" s="1" t="s">
        <v>733</v>
      </c>
      <c r="I327" s="1" t="s">
        <v>734</v>
      </c>
      <c r="J327">
        <v>8610</v>
      </c>
    </row>
    <row r="328" spans="1:10" ht="43.2" x14ac:dyDescent="0.3">
      <c r="A328">
        <v>399389</v>
      </c>
      <c r="B328">
        <v>3</v>
      </c>
      <c r="C328">
        <v>86.2</v>
      </c>
      <c r="D328">
        <v>86</v>
      </c>
      <c r="E328" t="s">
        <v>735</v>
      </c>
      <c r="F328" s="1" t="s">
        <v>736</v>
      </c>
      <c r="G328" s="1" t="s">
        <v>737</v>
      </c>
      <c r="J328">
        <v>862</v>
      </c>
    </row>
    <row r="329" spans="1:10" ht="43.2" x14ac:dyDescent="0.3">
      <c r="A329">
        <v>399390</v>
      </c>
      <c r="B329">
        <v>4</v>
      </c>
      <c r="C329">
        <v>86.21</v>
      </c>
      <c r="D329">
        <v>86.2</v>
      </c>
      <c r="E329" t="s">
        <v>738</v>
      </c>
      <c r="F329" s="1" t="s">
        <v>739</v>
      </c>
      <c r="I329" s="1" t="s">
        <v>740</v>
      </c>
      <c r="J329">
        <v>8620</v>
      </c>
    </row>
    <row r="330" spans="1:10" ht="43.2" x14ac:dyDescent="0.3">
      <c r="A330">
        <v>399391</v>
      </c>
      <c r="B330">
        <v>4</v>
      </c>
      <c r="C330">
        <v>86.22</v>
      </c>
      <c r="D330">
        <v>86.2</v>
      </c>
      <c r="E330" t="s">
        <v>741</v>
      </c>
      <c r="F330" s="1" t="s">
        <v>742</v>
      </c>
      <c r="G330" s="1" t="s">
        <v>743</v>
      </c>
      <c r="H330" t="e">
        <f>- Hair transplantation</f>
        <v>#NAME?</v>
      </c>
      <c r="I330" s="1" t="s">
        <v>744</v>
      </c>
      <c r="J330">
        <v>8620</v>
      </c>
    </row>
    <row r="331" spans="1:10" ht="57.6" x14ac:dyDescent="0.3">
      <c r="A331">
        <v>399392</v>
      </c>
      <c r="B331">
        <v>4</v>
      </c>
      <c r="C331">
        <v>86.23</v>
      </c>
      <c r="D331">
        <v>86.2</v>
      </c>
      <c r="E331" t="s">
        <v>745</v>
      </c>
      <c r="F331" s="1" t="s">
        <v>746</v>
      </c>
      <c r="G331" s="1" t="s">
        <v>747</v>
      </c>
      <c r="I331" s="1" t="s">
        <v>748</v>
      </c>
      <c r="J331">
        <v>8620</v>
      </c>
    </row>
    <row r="332" spans="1:10" x14ac:dyDescent="0.3">
      <c r="A332">
        <v>399393</v>
      </c>
      <c r="B332">
        <v>3</v>
      </c>
      <c r="C332">
        <v>86.9</v>
      </c>
      <c r="D332">
        <v>86</v>
      </c>
      <c r="E332" t="s">
        <v>749</v>
      </c>
      <c r="J332">
        <v>869</v>
      </c>
    </row>
    <row r="333" spans="1:10" ht="115.2" x14ac:dyDescent="0.3">
      <c r="A333">
        <v>399394</v>
      </c>
      <c r="B333">
        <v>4</v>
      </c>
      <c r="C333">
        <v>86.9</v>
      </c>
      <c r="D333">
        <v>86.9</v>
      </c>
      <c r="E333" t="s">
        <v>749</v>
      </c>
      <c r="F333" s="1" t="s">
        <v>750</v>
      </c>
      <c r="G333" s="1" t="s">
        <v>751</v>
      </c>
      <c r="H333" t="e">
        <f>- Reflex therapy
- Imaging scanning for medical purposes
- Colon hydrotherapy
- Echography
- activities of shiatsu practicians
- Laboratory doping control activities</f>
        <v>#NAME?</v>
      </c>
      <c r="I333" s="1" t="s">
        <v>752</v>
      </c>
      <c r="J333">
        <v>8690</v>
      </c>
    </row>
    <row r="334" spans="1:10" x14ac:dyDescent="0.3">
      <c r="A334">
        <v>399395</v>
      </c>
      <c r="B334">
        <v>2</v>
      </c>
      <c r="C334">
        <v>87</v>
      </c>
      <c r="D334" t="s">
        <v>726</v>
      </c>
      <c r="E334" t="s">
        <v>753</v>
      </c>
      <c r="F334" t="s">
        <v>754</v>
      </c>
      <c r="J334">
        <v>87</v>
      </c>
    </row>
    <row r="335" spans="1:10" x14ac:dyDescent="0.3">
      <c r="A335">
        <v>399396</v>
      </c>
      <c r="B335">
        <v>3</v>
      </c>
      <c r="C335">
        <v>87.1</v>
      </c>
      <c r="D335">
        <v>87</v>
      </c>
      <c r="E335" t="s">
        <v>755</v>
      </c>
      <c r="J335">
        <v>871</v>
      </c>
    </row>
    <row r="336" spans="1:10" ht="100.8" x14ac:dyDescent="0.3">
      <c r="A336">
        <v>399397</v>
      </c>
      <c r="B336">
        <v>4</v>
      </c>
      <c r="C336">
        <v>87.1</v>
      </c>
      <c r="D336">
        <v>87.1</v>
      </c>
      <c r="E336" t="s">
        <v>755</v>
      </c>
      <c r="F336" s="1" t="s">
        <v>756</v>
      </c>
      <c r="I336" s="1" t="s">
        <v>757</v>
      </c>
      <c r="J336">
        <v>8710</v>
      </c>
    </row>
    <row r="337" spans="1:10" x14ac:dyDescent="0.3">
      <c r="A337">
        <v>399398</v>
      </c>
      <c r="B337">
        <v>3</v>
      </c>
      <c r="C337">
        <v>87.2</v>
      </c>
      <c r="D337">
        <v>87</v>
      </c>
      <c r="E337" t="s">
        <v>758</v>
      </c>
      <c r="J337">
        <v>872</v>
      </c>
    </row>
    <row r="338" spans="1:10" ht="129.6" x14ac:dyDescent="0.3">
      <c r="A338">
        <v>399399</v>
      </c>
      <c r="B338">
        <v>4</v>
      </c>
      <c r="C338">
        <v>87.2</v>
      </c>
      <c r="D338">
        <v>87.2</v>
      </c>
      <c r="E338" t="s">
        <v>758</v>
      </c>
      <c r="F338" s="1" t="s">
        <v>759</v>
      </c>
      <c r="G338" s="1" t="s">
        <v>760</v>
      </c>
      <c r="I338" s="1" t="s">
        <v>761</v>
      </c>
      <c r="J338">
        <v>8720</v>
      </c>
    </row>
    <row r="339" spans="1:10" x14ac:dyDescent="0.3">
      <c r="A339">
        <v>399400</v>
      </c>
      <c r="B339">
        <v>3</v>
      </c>
      <c r="C339">
        <v>87.3</v>
      </c>
      <c r="D339">
        <v>87</v>
      </c>
      <c r="E339" t="s">
        <v>762</v>
      </c>
      <c r="J339">
        <v>873</v>
      </c>
    </row>
    <row r="340" spans="1:10" ht="129.6" x14ac:dyDescent="0.3">
      <c r="A340">
        <v>399401</v>
      </c>
      <c r="B340">
        <v>4</v>
      </c>
      <c r="C340">
        <v>87.3</v>
      </c>
      <c r="D340">
        <v>87.3</v>
      </c>
      <c r="E340" t="s">
        <v>762</v>
      </c>
      <c r="F340" s="1" t="s">
        <v>763</v>
      </c>
      <c r="I340" s="1" t="s">
        <v>764</v>
      </c>
      <c r="J340">
        <v>8730</v>
      </c>
    </row>
    <row r="341" spans="1:10" x14ac:dyDescent="0.3">
      <c r="A341">
        <v>399402</v>
      </c>
      <c r="B341">
        <v>3</v>
      </c>
      <c r="C341">
        <v>87.9</v>
      </c>
      <c r="D341">
        <v>87</v>
      </c>
      <c r="E341" t="s">
        <v>765</v>
      </c>
      <c r="J341">
        <v>879</v>
      </c>
    </row>
    <row r="342" spans="1:10" ht="129.6" x14ac:dyDescent="0.3">
      <c r="A342">
        <v>399403</v>
      </c>
      <c r="B342">
        <v>4</v>
      </c>
      <c r="C342">
        <v>87.9</v>
      </c>
      <c r="D342">
        <v>87.9</v>
      </c>
      <c r="E342" t="s">
        <v>765</v>
      </c>
      <c r="F342" s="1" t="s">
        <v>766</v>
      </c>
      <c r="G342" s="1" t="s">
        <v>767</v>
      </c>
      <c r="I342" s="1" t="s">
        <v>768</v>
      </c>
      <c r="J342">
        <v>8790</v>
      </c>
    </row>
    <row r="343" spans="1:10" x14ac:dyDescent="0.3">
      <c r="A343">
        <v>399404</v>
      </c>
      <c r="B343">
        <v>2</v>
      </c>
      <c r="C343">
        <v>88</v>
      </c>
      <c r="D343" t="s">
        <v>726</v>
      </c>
      <c r="E343" t="s">
        <v>769</v>
      </c>
      <c r="F343" t="s">
        <v>770</v>
      </c>
      <c r="J343">
        <v>88</v>
      </c>
    </row>
    <row r="344" spans="1:10" x14ac:dyDescent="0.3">
      <c r="A344">
        <v>399405</v>
      </c>
      <c r="B344">
        <v>3</v>
      </c>
      <c r="C344">
        <v>88.1</v>
      </c>
      <c r="D344">
        <v>88</v>
      </c>
      <c r="E344" t="s">
        <v>771</v>
      </c>
      <c r="J344">
        <v>881</v>
      </c>
    </row>
    <row r="345" spans="1:10" ht="72" x14ac:dyDescent="0.3">
      <c r="A345">
        <v>399406</v>
      </c>
      <c r="B345">
        <v>4</v>
      </c>
      <c r="C345">
        <v>88.1</v>
      </c>
      <c r="D345">
        <v>88.1</v>
      </c>
      <c r="E345" t="s">
        <v>771</v>
      </c>
      <c r="F345" s="1" t="s">
        <v>772</v>
      </c>
      <c r="I345" s="1" t="s">
        <v>773</v>
      </c>
      <c r="J345">
        <v>8810</v>
      </c>
    </row>
    <row r="346" spans="1:10" x14ac:dyDescent="0.3">
      <c r="A346">
        <v>399407</v>
      </c>
      <c r="B346">
        <v>3</v>
      </c>
      <c r="C346">
        <v>88.9</v>
      </c>
      <c r="D346">
        <v>88</v>
      </c>
      <c r="E346" t="s">
        <v>774</v>
      </c>
      <c r="J346">
        <v>889</v>
      </c>
    </row>
    <row r="347" spans="1:10" ht="28.8" x14ac:dyDescent="0.3">
      <c r="A347">
        <v>399408</v>
      </c>
      <c r="B347">
        <v>4</v>
      </c>
      <c r="C347">
        <v>88.91</v>
      </c>
      <c r="D347">
        <v>88.9</v>
      </c>
      <c r="E347" t="s">
        <v>775</v>
      </c>
      <c r="G347" s="1" t="s">
        <v>776</v>
      </c>
      <c r="J347">
        <v>8890</v>
      </c>
    </row>
    <row r="348" spans="1:10" ht="172.8" x14ac:dyDescent="0.3">
      <c r="A348">
        <v>399409</v>
      </c>
      <c r="B348">
        <v>4</v>
      </c>
      <c r="C348">
        <v>88.99</v>
      </c>
      <c r="D348">
        <v>88.9</v>
      </c>
      <c r="E348" t="s">
        <v>777</v>
      </c>
      <c r="F348" s="1" t="s">
        <v>778</v>
      </c>
      <c r="H348" t="e">
        <f>- Adoption organisation activities
- Cultural mediation
- Refugee resettlement activities</f>
        <v>#NAME?</v>
      </c>
      <c r="I348" s="1" t="s">
        <v>779</v>
      </c>
      <c r="J348">
        <v>8890</v>
      </c>
    </row>
    <row r="349" spans="1:10" x14ac:dyDescent="0.3">
      <c r="A349">
        <v>399410</v>
      </c>
      <c r="B349">
        <v>1</v>
      </c>
      <c r="C349" t="s">
        <v>780</v>
      </c>
      <c r="E349" t="s">
        <v>781</v>
      </c>
      <c r="F349" t="s">
        <v>782</v>
      </c>
      <c r="J349" t="s">
        <v>780</v>
      </c>
    </row>
    <row r="350" spans="1:10" ht="129.6" x14ac:dyDescent="0.3">
      <c r="A350">
        <v>399411</v>
      </c>
      <c r="B350">
        <v>2</v>
      </c>
      <c r="C350">
        <v>90</v>
      </c>
      <c r="D350" t="s">
        <v>780</v>
      </c>
      <c r="E350" t="s">
        <v>783</v>
      </c>
      <c r="F350" t="s">
        <v>784</v>
      </c>
      <c r="I350" s="1" t="s">
        <v>785</v>
      </c>
      <c r="J350">
        <v>90</v>
      </c>
    </row>
    <row r="351" spans="1:10" x14ac:dyDescent="0.3">
      <c r="A351">
        <v>399412</v>
      </c>
      <c r="B351">
        <v>3</v>
      </c>
      <c r="C351">
        <v>90</v>
      </c>
      <c r="D351">
        <v>90</v>
      </c>
      <c r="E351" t="s">
        <v>783</v>
      </c>
      <c r="F351" t="s">
        <v>786</v>
      </c>
      <c r="J351">
        <v>900</v>
      </c>
    </row>
    <row r="352" spans="1:10" ht="57.6" x14ac:dyDescent="0.3">
      <c r="A352">
        <v>399413</v>
      </c>
      <c r="B352">
        <v>4</v>
      </c>
      <c r="C352">
        <v>90.01</v>
      </c>
      <c r="D352">
        <v>90</v>
      </c>
      <c r="E352" t="s">
        <v>787</v>
      </c>
      <c r="F352" s="1" t="s">
        <v>788</v>
      </c>
      <c r="H352" t="e">
        <f>- activities of independent organists
- activities of individual/independent photo models</f>
        <v>#NAME?</v>
      </c>
      <c r="I352" s="1" t="s">
        <v>789</v>
      </c>
      <c r="J352">
        <v>9000</v>
      </c>
    </row>
    <row r="353" spans="1:10" ht="43.2" x14ac:dyDescent="0.3">
      <c r="A353">
        <v>399414</v>
      </c>
      <c r="B353">
        <v>4</v>
      </c>
      <c r="C353">
        <v>90.02</v>
      </c>
      <c r="D353">
        <v>90</v>
      </c>
      <c r="E353" t="s">
        <v>790</v>
      </c>
      <c r="F353" s="1" t="s">
        <v>791</v>
      </c>
      <c r="G353" s="1" t="s">
        <v>792</v>
      </c>
      <c r="H353" t="e">
        <f>- Scenography
- activities of film directors
- organisation of Cultural events, such as film festivals, musical or dance festivals</f>
        <v>#NAME?</v>
      </c>
      <c r="I353" s="1" t="s">
        <v>789</v>
      </c>
      <c r="J353">
        <v>9000</v>
      </c>
    </row>
    <row r="354" spans="1:10" ht="72" x14ac:dyDescent="0.3">
      <c r="A354">
        <v>399415</v>
      </c>
      <c r="B354">
        <v>4</v>
      </c>
      <c r="C354">
        <v>90.03</v>
      </c>
      <c r="D354">
        <v>90</v>
      </c>
      <c r="E354" t="s">
        <v>793</v>
      </c>
      <c r="F354" s="1" t="s">
        <v>794</v>
      </c>
      <c r="H354" t="e">
        <f>- Interior polychrome restoration, furnace tile restoration and decorative painting
- Texts and compositions writing on behalf of someone else
- activities of scriptwriters</f>
        <v>#NAME?</v>
      </c>
      <c r="I354" s="1" t="s">
        <v>795</v>
      </c>
      <c r="J354">
        <v>9000</v>
      </c>
    </row>
    <row r="355" spans="1:10" ht="57.6" x14ac:dyDescent="0.3">
      <c r="A355">
        <v>399416</v>
      </c>
      <c r="B355">
        <v>4</v>
      </c>
      <c r="C355">
        <v>90.04</v>
      </c>
      <c r="D355">
        <v>90</v>
      </c>
      <c r="E355" t="s">
        <v>796</v>
      </c>
      <c r="F355" s="1" t="s">
        <v>797</v>
      </c>
      <c r="I355" s="1" t="s">
        <v>798</v>
      </c>
      <c r="J355">
        <v>9000</v>
      </c>
    </row>
    <row r="356" spans="1:10" ht="28.8" x14ac:dyDescent="0.3">
      <c r="A356">
        <v>399417</v>
      </c>
      <c r="B356">
        <v>2</v>
      </c>
      <c r="C356">
        <v>91</v>
      </c>
      <c r="D356" t="s">
        <v>780</v>
      </c>
      <c r="E356" t="s">
        <v>799</v>
      </c>
      <c r="F356" t="s">
        <v>800</v>
      </c>
      <c r="G356" t="s">
        <v>801</v>
      </c>
      <c r="I356" s="1" t="s">
        <v>802</v>
      </c>
      <c r="J356">
        <v>91</v>
      </c>
    </row>
    <row r="357" spans="1:10" x14ac:dyDescent="0.3">
      <c r="A357">
        <v>399418</v>
      </c>
      <c r="B357">
        <v>3</v>
      </c>
      <c r="C357">
        <v>91</v>
      </c>
      <c r="D357">
        <v>91</v>
      </c>
      <c r="E357" t="s">
        <v>799</v>
      </c>
      <c r="J357">
        <v>910</v>
      </c>
    </row>
    <row r="358" spans="1:10" ht="100.8" x14ac:dyDescent="0.3">
      <c r="A358">
        <v>399419</v>
      </c>
      <c r="B358">
        <v>4</v>
      </c>
      <c r="C358">
        <v>91.01</v>
      </c>
      <c r="D358">
        <v>91</v>
      </c>
      <c r="E358" t="s">
        <v>803</v>
      </c>
      <c r="F358" s="1" t="s">
        <v>804</v>
      </c>
      <c r="J358">
        <v>9101</v>
      </c>
    </row>
    <row r="359" spans="1:10" ht="86.4" x14ac:dyDescent="0.3">
      <c r="A359">
        <v>399420</v>
      </c>
      <c r="B359">
        <v>4</v>
      </c>
      <c r="C359">
        <v>91.02</v>
      </c>
      <c r="D359">
        <v>91</v>
      </c>
      <c r="E359" t="s">
        <v>805</v>
      </c>
      <c r="F359" s="1" t="s">
        <v>806</v>
      </c>
      <c r="I359" s="1" t="s">
        <v>807</v>
      </c>
      <c r="J359">
        <v>9102</v>
      </c>
    </row>
    <row r="360" spans="1:10" ht="28.8" x14ac:dyDescent="0.3">
      <c r="A360">
        <v>399421</v>
      </c>
      <c r="B360">
        <v>4</v>
      </c>
      <c r="C360">
        <v>91.03</v>
      </c>
      <c r="D360">
        <v>91</v>
      </c>
      <c r="E360" t="s">
        <v>808</v>
      </c>
      <c r="F360" s="1" t="s">
        <v>809</v>
      </c>
      <c r="I360" s="1" t="s">
        <v>810</v>
      </c>
      <c r="J360">
        <v>9102</v>
      </c>
    </row>
    <row r="361" spans="1:10" ht="43.2" x14ac:dyDescent="0.3">
      <c r="A361">
        <v>399422</v>
      </c>
      <c r="B361">
        <v>4</v>
      </c>
      <c r="C361">
        <v>91.04</v>
      </c>
      <c r="D361">
        <v>91</v>
      </c>
      <c r="E361" t="s">
        <v>811</v>
      </c>
      <c r="F361" s="1" t="s">
        <v>812</v>
      </c>
      <c r="I361" s="1" t="s">
        <v>813</v>
      </c>
      <c r="J361">
        <v>9103</v>
      </c>
    </row>
    <row r="362" spans="1:10" x14ac:dyDescent="0.3">
      <c r="A362">
        <v>399423</v>
      </c>
      <c r="B362">
        <v>2</v>
      </c>
      <c r="C362">
        <v>92</v>
      </c>
      <c r="D362" t="s">
        <v>780</v>
      </c>
      <c r="E362" t="s">
        <v>814</v>
      </c>
      <c r="F362" t="s">
        <v>815</v>
      </c>
      <c r="J362">
        <v>92</v>
      </c>
    </row>
    <row r="363" spans="1:10" x14ac:dyDescent="0.3">
      <c r="A363">
        <v>399424</v>
      </c>
      <c r="B363">
        <v>3</v>
      </c>
      <c r="C363">
        <v>92</v>
      </c>
      <c r="D363">
        <v>92</v>
      </c>
      <c r="E363" t="s">
        <v>814</v>
      </c>
      <c r="J363">
        <v>920</v>
      </c>
    </row>
    <row r="364" spans="1:10" ht="100.8" x14ac:dyDescent="0.3">
      <c r="A364">
        <v>399425</v>
      </c>
      <c r="B364">
        <v>4</v>
      </c>
      <c r="C364">
        <v>92</v>
      </c>
      <c r="D364">
        <v>92</v>
      </c>
      <c r="E364" t="s">
        <v>814</v>
      </c>
      <c r="F364" s="1" t="s">
        <v>816</v>
      </c>
      <c r="H364" t="e">
        <f>- Quiz app subscription with prizes</f>
        <v>#NAME?</v>
      </c>
      <c r="J364">
        <v>9200</v>
      </c>
    </row>
    <row r="365" spans="1:10" x14ac:dyDescent="0.3">
      <c r="A365">
        <v>399426</v>
      </c>
      <c r="B365">
        <v>2</v>
      </c>
      <c r="C365">
        <v>93</v>
      </c>
      <c r="D365" t="s">
        <v>780</v>
      </c>
      <c r="E365" t="s">
        <v>817</v>
      </c>
      <c r="F365" t="s">
        <v>818</v>
      </c>
      <c r="I365" t="s">
        <v>819</v>
      </c>
      <c r="J365">
        <v>93</v>
      </c>
    </row>
    <row r="366" spans="1:10" x14ac:dyDescent="0.3">
      <c r="A366">
        <v>399427</v>
      </c>
      <c r="B366">
        <v>3</v>
      </c>
      <c r="C366">
        <v>93.1</v>
      </c>
      <c r="D366">
        <v>93</v>
      </c>
      <c r="E366" t="s">
        <v>820</v>
      </c>
      <c r="F366" t="s">
        <v>821</v>
      </c>
      <c r="J366">
        <v>931</v>
      </c>
    </row>
    <row r="367" spans="1:10" ht="172.8" x14ac:dyDescent="0.3">
      <c r="A367">
        <v>399428</v>
      </c>
      <c r="B367">
        <v>4</v>
      </c>
      <c r="C367">
        <v>93.11</v>
      </c>
      <c r="D367">
        <v>93.1</v>
      </c>
      <c r="E367" t="s">
        <v>822</v>
      </c>
      <c r="F367" s="1" t="s">
        <v>823</v>
      </c>
      <c r="G367" t="s">
        <v>824</v>
      </c>
      <c r="H367" t="e">
        <f>- Operation of squash facilities</f>
        <v>#NAME?</v>
      </c>
      <c r="I367" s="1" t="s">
        <v>825</v>
      </c>
      <c r="J367">
        <v>9311</v>
      </c>
    </row>
    <row r="368" spans="1:10" ht="187.2" x14ac:dyDescent="0.3">
      <c r="A368">
        <v>399429</v>
      </c>
      <c r="B368">
        <v>4</v>
      </c>
      <c r="C368">
        <v>93.12</v>
      </c>
      <c r="D368">
        <v>93.1</v>
      </c>
      <c r="E368" t="s">
        <v>826</v>
      </c>
      <c r="F368" s="1" t="s">
        <v>827</v>
      </c>
      <c r="H368" t="e">
        <f>- Advertising space sale, by sports clubs
- Majorette activities, as part of sports events</f>
        <v>#NAME?</v>
      </c>
      <c r="I368" s="1" t="s">
        <v>828</v>
      </c>
      <c r="J368">
        <v>9312</v>
      </c>
    </row>
    <row r="369" spans="1:10" ht="28.8" x14ac:dyDescent="0.3">
      <c r="A369">
        <v>399430</v>
      </c>
      <c r="B369">
        <v>4</v>
      </c>
      <c r="C369">
        <v>93.13</v>
      </c>
      <c r="D369">
        <v>93.1</v>
      </c>
      <c r="E369" t="s">
        <v>829</v>
      </c>
      <c r="F369" s="1" t="s">
        <v>830</v>
      </c>
      <c r="I369" s="1" t="s">
        <v>831</v>
      </c>
      <c r="J369">
        <v>9311</v>
      </c>
    </row>
    <row r="370" spans="1:10" ht="129.6" x14ac:dyDescent="0.3">
      <c r="A370">
        <v>399431</v>
      </c>
      <c r="B370">
        <v>4</v>
      </c>
      <c r="C370">
        <v>93.19</v>
      </c>
      <c r="D370">
        <v>93.1</v>
      </c>
      <c r="E370" t="s">
        <v>832</v>
      </c>
      <c r="F370" s="1" t="s">
        <v>833</v>
      </c>
      <c r="H370" t="e">
        <f>- Provision of personnel and equipment for sporting events
- Advertising space sale, by racing stables
- Operation of vertical, aerodynamic wind tunnels</f>
        <v>#NAME?</v>
      </c>
      <c r="I370" s="1" t="s">
        <v>834</v>
      </c>
      <c r="J370">
        <v>9319</v>
      </c>
    </row>
    <row r="371" spans="1:10" x14ac:dyDescent="0.3">
      <c r="A371">
        <v>399432</v>
      </c>
      <c r="B371">
        <v>3</v>
      </c>
      <c r="C371">
        <v>93.2</v>
      </c>
      <c r="D371">
        <v>93</v>
      </c>
      <c r="E371" t="s">
        <v>835</v>
      </c>
      <c r="F371" t="s">
        <v>836</v>
      </c>
      <c r="I371" t="s">
        <v>837</v>
      </c>
      <c r="J371">
        <v>932</v>
      </c>
    </row>
    <row r="372" spans="1:10" x14ac:dyDescent="0.3">
      <c r="A372">
        <v>399433</v>
      </c>
      <c r="B372">
        <v>4</v>
      </c>
      <c r="C372">
        <v>93.21</v>
      </c>
      <c r="D372">
        <v>93.2</v>
      </c>
      <c r="E372" t="s">
        <v>838</v>
      </c>
      <c r="F372" t="s">
        <v>839</v>
      </c>
      <c r="H372" t="e">
        <f>- activities of aqua/water parks</f>
        <v>#NAME?</v>
      </c>
      <c r="J372">
        <v>9321</v>
      </c>
    </row>
    <row r="373" spans="1:10" ht="129.6" x14ac:dyDescent="0.3">
      <c r="A373">
        <v>399434</v>
      </c>
      <c r="B373">
        <v>4</v>
      </c>
      <c r="C373">
        <v>93.29</v>
      </c>
      <c r="D373">
        <v>93.2</v>
      </c>
      <c r="E373" t="s">
        <v>840</v>
      </c>
      <c r="F373" s="1" t="s">
        <v>841</v>
      </c>
      <c r="G373" t="s">
        <v>842</v>
      </c>
      <c r="H373" t="e">
        <f>- Operation of computer rooms for playing computer games
- Operation of self-service rocking chairs/horses/cars/space ships etc. as amusement/recreation devices
- Airsoft and paintball
- Electronic sports club</f>
        <v>#NAME?</v>
      </c>
      <c r="I373" s="1" t="s">
        <v>843</v>
      </c>
      <c r="J373">
        <v>9329</v>
      </c>
    </row>
    <row r="374" spans="1:10" x14ac:dyDescent="0.3">
      <c r="A374">
        <v>399435</v>
      </c>
      <c r="B374">
        <v>1</v>
      </c>
      <c r="C374" t="s">
        <v>844</v>
      </c>
      <c r="E374" t="s">
        <v>845</v>
      </c>
      <c r="F374" t="s">
        <v>846</v>
      </c>
      <c r="J374" t="s">
        <v>844</v>
      </c>
    </row>
    <row r="375" spans="1:10" x14ac:dyDescent="0.3">
      <c r="A375">
        <v>399436</v>
      </c>
      <c r="B375">
        <v>2</v>
      </c>
      <c r="C375">
        <v>94</v>
      </c>
      <c r="D375" t="s">
        <v>844</v>
      </c>
      <c r="E375" t="s">
        <v>847</v>
      </c>
      <c r="F375" t="s">
        <v>848</v>
      </c>
      <c r="J375">
        <v>94</v>
      </c>
    </row>
    <row r="376" spans="1:10" x14ac:dyDescent="0.3">
      <c r="A376">
        <v>399437</v>
      </c>
      <c r="B376">
        <v>3</v>
      </c>
      <c r="C376">
        <v>94.1</v>
      </c>
      <c r="D376">
        <v>94</v>
      </c>
      <c r="E376" t="s">
        <v>849</v>
      </c>
      <c r="F376" t="s">
        <v>850</v>
      </c>
      <c r="G376" t="s">
        <v>851</v>
      </c>
      <c r="J376">
        <v>941</v>
      </c>
    </row>
    <row r="377" spans="1:10" ht="72" x14ac:dyDescent="0.3">
      <c r="A377">
        <v>399438</v>
      </c>
      <c r="B377">
        <v>4</v>
      </c>
      <c r="C377">
        <v>94.11</v>
      </c>
      <c r="D377">
        <v>94.1</v>
      </c>
      <c r="E377" t="s">
        <v>852</v>
      </c>
      <c r="F377" s="1" t="s">
        <v>853</v>
      </c>
      <c r="I377" s="1" t="s">
        <v>854</v>
      </c>
      <c r="J377">
        <v>9411</v>
      </c>
    </row>
    <row r="378" spans="1:10" ht="57.6" x14ac:dyDescent="0.3">
      <c r="A378">
        <v>399439</v>
      </c>
      <c r="B378">
        <v>4</v>
      </c>
      <c r="C378">
        <v>94.12</v>
      </c>
      <c r="D378">
        <v>94.1</v>
      </c>
      <c r="E378" t="s">
        <v>855</v>
      </c>
      <c r="F378" s="1" t="s">
        <v>856</v>
      </c>
      <c r="G378" s="1" t="s">
        <v>857</v>
      </c>
      <c r="I378" s="1" t="s">
        <v>858</v>
      </c>
      <c r="J378">
        <v>9412</v>
      </c>
    </row>
    <row r="379" spans="1:10" x14ac:dyDescent="0.3">
      <c r="A379">
        <v>399440</v>
      </c>
      <c r="B379">
        <v>3</v>
      </c>
      <c r="C379">
        <v>94.2</v>
      </c>
      <c r="D379">
        <v>94</v>
      </c>
      <c r="E379" t="s">
        <v>859</v>
      </c>
      <c r="J379">
        <v>942</v>
      </c>
    </row>
    <row r="380" spans="1:10" ht="43.2" x14ac:dyDescent="0.3">
      <c r="A380">
        <v>399441</v>
      </c>
      <c r="B380">
        <v>4</v>
      </c>
      <c r="C380">
        <v>94.2</v>
      </c>
      <c r="D380">
        <v>94.2</v>
      </c>
      <c r="E380" t="s">
        <v>859</v>
      </c>
      <c r="F380" s="1" t="s">
        <v>860</v>
      </c>
      <c r="G380" s="1" t="s">
        <v>861</v>
      </c>
      <c r="I380" s="1" t="s">
        <v>862</v>
      </c>
      <c r="J380">
        <v>9420</v>
      </c>
    </row>
    <row r="381" spans="1:10" x14ac:dyDescent="0.3">
      <c r="A381">
        <v>399442</v>
      </c>
      <c r="B381">
        <v>3</v>
      </c>
      <c r="C381">
        <v>94.9</v>
      </c>
      <c r="D381">
        <v>94</v>
      </c>
      <c r="E381" t="s">
        <v>863</v>
      </c>
      <c r="F381" t="s">
        <v>864</v>
      </c>
      <c r="J381">
        <v>949</v>
      </c>
    </row>
    <row r="382" spans="1:10" ht="57.6" x14ac:dyDescent="0.3">
      <c r="A382">
        <v>399443</v>
      </c>
      <c r="B382">
        <v>4</v>
      </c>
      <c r="C382">
        <v>94.91</v>
      </c>
      <c r="D382">
        <v>94.9</v>
      </c>
      <c r="E382" t="s">
        <v>865</v>
      </c>
      <c r="F382" s="1" t="s">
        <v>866</v>
      </c>
      <c r="G382" s="1" t="s">
        <v>867</v>
      </c>
      <c r="I382" s="1" t="s">
        <v>868</v>
      </c>
      <c r="J382">
        <v>9491</v>
      </c>
    </row>
    <row r="383" spans="1:10" ht="43.2" x14ac:dyDescent="0.3">
      <c r="A383">
        <v>399444</v>
      </c>
      <c r="B383">
        <v>4</v>
      </c>
      <c r="C383">
        <v>94.92</v>
      </c>
      <c r="D383">
        <v>94.9</v>
      </c>
      <c r="E383" t="s">
        <v>869</v>
      </c>
      <c r="F383" s="1" t="s">
        <v>870</v>
      </c>
      <c r="J383">
        <v>9492</v>
      </c>
    </row>
    <row r="384" spans="1:10" ht="172.8" x14ac:dyDescent="0.3">
      <c r="A384">
        <v>399445</v>
      </c>
      <c r="B384">
        <v>4</v>
      </c>
      <c r="C384">
        <v>94.99</v>
      </c>
      <c r="D384">
        <v>94.9</v>
      </c>
      <c r="E384" t="s">
        <v>871</v>
      </c>
      <c r="F384" s="1" t="s">
        <v>872</v>
      </c>
      <c r="G384" s="1" t="s">
        <v>873</v>
      </c>
      <c r="I384" s="1" t="s">
        <v>874</v>
      </c>
      <c r="J384">
        <v>9499</v>
      </c>
    </row>
    <row r="385" spans="1:10" x14ac:dyDescent="0.3">
      <c r="A385">
        <v>399446</v>
      </c>
      <c r="B385">
        <v>2</v>
      </c>
      <c r="C385">
        <v>95</v>
      </c>
      <c r="D385" t="s">
        <v>844</v>
      </c>
      <c r="E385" t="s">
        <v>875</v>
      </c>
      <c r="F385" t="s">
        <v>876</v>
      </c>
      <c r="G385" t="s">
        <v>877</v>
      </c>
      <c r="I385" t="s">
        <v>878</v>
      </c>
      <c r="J385">
        <v>95</v>
      </c>
    </row>
    <row r="386" spans="1:10" x14ac:dyDescent="0.3">
      <c r="A386">
        <v>399447</v>
      </c>
      <c r="B386">
        <v>3</v>
      </c>
      <c r="C386">
        <v>95.1</v>
      </c>
      <c r="D386">
        <v>95</v>
      </c>
      <c r="E386" t="s">
        <v>879</v>
      </c>
      <c r="F386" t="s">
        <v>880</v>
      </c>
      <c r="J386">
        <v>951</v>
      </c>
    </row>
    <row r="387" spans="1:10" ht="259.2" x14ac:dyDescent="0.3">
      <c r="A387">
        <v>399448</v>
      </c>
      <c r="B387">
        <v>4</v>
      </c>
      <c r="C387">
        <v>95.11</v>
      </c>
      <c r="D387">
        <v>95.1</v>
      </c>
      <c r="E387" t="s">
        <v>881</v>
      </c>
      <c r="F387" s="1" t="s">
        <v>882</v>
      </c>
      <c r="G387" s="1" t="s">
        <v>883</v>
      </c>
      <c r="H387" t="e">
        <f>- Renovation of CDs and DVDs</f>
        <v>#NAME?</v>
      </c>
      <c r="I387" s="1" t="s">
        <v>884</v>
      </c>
      <c r="J387">
        <v>9511</v>
      </c>
    </row>
    <row r="388" spans="1:10" ht="115.2" x14ac:dyDescent="0.3">
      <c r="A388">
        <v>399449</v>
      </c>
      <c r="B388">
        <v>4</v>
      </c>
      <c r="C388">
        <v>95.12</v>
      </c>
      <c r="D388">
        <v>95.1</v>
      </c>
      <c r="E388" t="s">
        <v>885</v>
      </c>
      <c r="F388" s="1" t="s">
        <v>886</v>
      </c>
      <c r="J388">
        <v>9512</v>
      </c>
    </row>
    <row r="389" spans="1:10" x14ac:dyDescent="0.3">
      <c r="A389">
        <v>399450</v>
      </c>
      <c r="B389">
        <v>3</v>
      </c>
      <c r="C389">
        <v>95.2</v>
      </c>
      <c r="D389">
        <v>95</v>
      </c>
      <c r="E389" t="s">
        <v>887</v>
      </c>
      <c r="F389" t="s">
        <v>888</v>
      </c>
      <c r="J389">
        <v>952</v>
      </c>
    </row>
    <row r="390" spans="1:10" ht="86.4" x14ac:dyDescent="0.3">
      <c r="A390">
        <v>399451</v>
      </c>
      <c r="B390">
        <v>4</v>
      </c>
      <c r="C390">
        <v>95.21</v>
      </c>
      <c r="D390">
        <v>95.2</v>
      </c>
      <c r="E390" t="s">
        <v>889</v>
      </c>
      <c r="F390" s="1" t="s">
        <v>890</v>
      </c>
      <c r="J390">
        <v>9521</v>
      </c>
    </row>
    <row r="391" spans="1:10" ht="72" x14ac:dyDescent="0.3">
      <c r="A391">
        <v>399452</v>
      </c>
      <c r="B391">
        <v>4</v>
      </c>
      <c r="C391">
        <v>95.22</v>
      </c>
      <c r="D391">
        <v>95.2</v>
      </c>
      <c r="E391" t="s">
        <v>891</v>
      </c>
      <c r="F391" s="1" t="s">
        <v>892</v>
      </c>
      <c r="I391" s="1" t="s">
        <v>893</v>
      </c>
      <c r="J391">
        <v>9522</v>
      </c>
    </row>
    <row r="392" spans="1:10" ht="43.2" x14ac:dyDescent="0.3">
      <c r="A392">
        <v>399453</v>
      </c>
      <c r="B392">
        <v>4</v>
      </c>
      <c r="C392">
        <v>95.23</v>
      </c>
      <c r="D392">
        <v>95.2</v>
      </c>
      <c r="E392" t="s">
        <v>894</v>
      </c>
      <c r="F392" s="1" t="s">
        <v>895</v>
      </c>
      <c r="J392">
        <v>9523</v>
      </c>
    </row>
    <row r="393" spans="1:10" ht="28.8" x14ac:dyDescent="0.3">
      <c r="A393">
        <v>399454</v>
      </c>
      <c r="B393">
        <v>4</v>
      </c>
      <c r="C393">
        <v>95.24</v>
      </c>
      <c r="D393">
        <v>95.2</v>
      </c>
      <c r="E393" t="s">
        <v>896</v>
      </c>
      <c r="F393" s="1" t="s">
        <v>897</v>
      </c>
      <c r="J393">
        <v>9524</v>
      </c>
    </row>
    <row r="394" spans="1:10" ht="43.2" x14ac:dyDescent="0.3">
      <c r="A394">
        <v>399455</v>
      </c>
      <c r="B394">
        <v>4</v>
      </c>
      <c r="C394">
        <v>95.25</v>
      </c>
      <c r="D394">
        <v>95.2</v>
      </c>
      <c r="E394" t="s">
        <v>898</v>
      </c>
      <c r="F394" s="1" t="s">
        <v>899</v>
      </c>
      <c r="I394" s="1" t="s">
        <v>900</v>
      </c>
      <c r="J394">
        <v>9529</v>
      </c>
    </row>
    <row r="395" spans="1:10" ht="129.6" x14ac:dyDescent="0.3">
      <c r="A395">
        <v>399456</v>
      </c>
      <c r="B395">
        <v>4</v>
      </c>
      <c r="C395">
        <v>95.29</v>
      </c>
      <c r="D395">
        <v>95.2</v>
      </c>
      <c r="E395" t="s">
        <v>901</v>
      </c>
      <c r="F395" s="1" t="s">
        <v>902</v>
      </c>
      <c r="I395" s="1" t="s">
        <v>903</v>
      </c>
      <c r="J395">
        <v>9529</v>
      </c>
    </row>
    <row r="396" spans="1:10" x14ac:dyDescent="0.3">
      <c r="A396">
        <v>399457</v>
      </c>
      <c r="B396">
        <v>2</v>
      </c>
      <c r="C396">
        <v>96</v>
      </c>
      <c r="D396" t="s">
        <v>844</v>
      </c>
      <c r="E396" t="s">
        <v>904</v>
      </c>
      <c r="F396" t="s">
        <v>905</v>
      </c>
      <c r="J396">
        <v>96</v>
      </c>
    </row>
    <row r="397" spans="1:10" x14ac:dyDescent="0.3">
      <c r="A397">
        <v>399458</v>
      </c>
      <c r="B397">
        <v>3</v>
      </c>
      <c r="C397">
        <v>96</v>
      </c>
      <c r="D397">
        <v>96</v>
      </c>
      <c r="E397" t="s">
        <v>904</v>
      </c>
      <c r="J397">
        <v>960</v>
      </c>
    </row>
    <row r="398" spans="1:10" ht="86.4" x14ac:dyDescent="0.3">
      <c r="A398">
        <v>399459</v>
      </c>
      <c r="B398">
        <v>4</v>
      </c>
      <c r="C398">
        <v>96.01</v>
      </c>
      <c r="D398">
        <v>96</v>
      </c>
      <c r="E398" t="s">
        <v>906</v>
      </c>
      <c r="F398" s="1" t="s">
        <v>907</v>
      </c>
      <c r="I398" s="1" t="s">
        <v>908</v>
      </c>
      <c r="J398">
        <v>9601</v>
      </c>
    </row>
    <row r="399" spans="1:10" ht="57.6" x14ac:dyDescent="0.3">
      <c r="A399">
        <v>399460</v>
      </c>
      <c r="B399">
        <v>4</v>
      </c>
      <c r="C399">
        <v>96.02</v>
      </c>
      <c r="D399">
        <v>96</v>
      </c>
      <c r="E399" t="s">
        <v>909</v>
      </c>
      <c r="F399" s="1" t="s">
        <v>910</v>
      </c>
      <c r="H399" t="e">
        <f>- Hair design
- Permanent make-up</f>
        <v>#NAME?</v>
      </c>
      <c r="I399" s="1" t="s">
        <v>911</v>
      </c>
      <c r="J399">
        <v>9602</v>
      </c>
    </row>
    <row r="400" spans="1:10" ht="100.8" x14ac:dyDescent="0.3">
      <c r="A400">
        <v>399461</v>
      </c>
      <c r="B400">
        <v>4</v>
      </c>
      <c r="C400">
        <v>96.03</v>
      </c>
      <c r="D400">
        <v>96</v>
      </c>
      <c r="E400" t="s">
        <v>912</v>
      </c>
      <c r="F400" s="1" t="s">
        <v>913</v>
      </c>
      <c r="I400" s="1" t="s">
        <v>914</v>
      </c>
      <c r="J400">
        <v>9603</v>
      </c>
    </row>
    <row r="401" spans="1:10" ht="43.2" x14ac:dyDescent="0.3">
      <c r="A401">
        <v>399462</v>
      </c>
      <c r="B401">
        <v>4</v>
      </c>
      <c r="C401">
        <v>96.04</v>
      </c>
      <c r="D401">
        <v>96</v>
      </c>
      <c r="E401" t="s">
        <v>915</v>
      </c>
      <c r="F401" s="1" t="s">
        <v>916</v>
      </c>
      <c r="I401" s="1" t="s">
        <v>917</v>
      </c>
      <c r="J401">
        <v>9609</v>
      </c>
    </row>
    <row r="402" spans="1:10" ht="115.2" x14ac:dyDescent="0.3">
      <c r="A402">
        <v>399463</v>
      </c>
      <c r="B402">
        <v>4</v>
      </c>
      <c r="C402">
        <v>96.09</v>
      </c>
      <c r="D402">
        <v>96</v>
      </c>
      <c r="E402" t="s">
        <v>918</v>
      </c>
      <c r="F402" s="1" t="s">
        <v>919</v>
      </c>
      <c r="H402" t="e">
        <f>- Dating and other speed networking activities
- Tattoo artist activities, using biological substances (such as henna) for temporary decoration
- Horse whispering activities
- Housesitting activities
- Healer activities</f>
        <v>#NAME?</v>
      </c>
      <c r="I402" s="1" t="s">
        <v>920</v>
      </c>
      <c r="J402">
        <v>9609</v>
      </c>
    </row>
    <row r="403" spans="1:10" x14ac:dyDescent="0.3">
      <c r="A403">
        <v>399464</v>
      </c>
      <c r="B403">
        <v>1</v>
      </c>
      <c r="C403" t="s">
        <v>921</v>
      </c>
      <c r="E403" t="s">
        <v>922</v>
      </c>
      <c r="J403" t="s">
        <v>921</v>
      </c>
    </row>
    <row r="404" spans="1:10" x14ac:dyDescent="0.3">
      <c r="A404">
        <v>399465</v>
      </c>
      <c r="B404">
        <v>2</v>
      </c>
      <c r="C404">
        <v>97</v>
      </c>
      <c r="D404" t="s">
        <v>921</v>
      </c>
      <c r="E404" t="s">
        <v>923</v>
      </c>
      <c r="J404">
        <v>97</v>
      </c>
    </row>
    <row r="405" spans="1:10" x14ac:dyDescent="0.3">
      <c r="A405">
        <v>399466</v>
      </c>
      <c r="B405">
        <v>3</v>
      </c>
      <c r="C405">
        <v>97</v>
      </c>
      <c r="D405">
        <v>97</v>
      </c>
      <c r="E405" t="s">
        <v>923</v>
      </c>
      <c r="J405">
        <v>970</v>
      </c>
    </row>
    <row r="406" spans="1:10" ht="43.2" x14ac:dyDescent="0.3">
      <c r="A406">
        <v>399467</v>
      </c>
      <c r="B406">
        <v>4</v>
      </c>
      <c r="C406">
        <v>97</v>
      </c>
      <c r="D406">
        <v>97</v>
      </c>
      <c r="E406" t="s">
        <v>923</v>
      </c>
      <c r="F406" s="1" t="s">
        <v>924</v>
      </c>
      <c r="I406" s="1" t="s">
        <v>925</v>
      </c>
      <c r="J406">
        <v>9700</v>
      </c>
    </row>
    <row r="407" spans="1:10" ht="43.2" x14ac:dyDescent="0.3">
      <c r="A407">
        <v>399468</v>
      </c>
      <c r="B407">
        <v>2</v>
      </c>
      <c r="C407">
        <v>98</v>
      </c>
      <c r="D407" t="s">
        <v>921</v>
      </c>
      <c r="E407" t="s">
        <v>926</v>
      </c>
      <c r="F407" s="1" t="s">
        <v>927</v>
      </c>
      <c r="J407">
        <v>98</v>
      </c>
    </row>
    <row r="408" spans="1:10" x14ac:dyDescent="0.3">
      <c r="A408">
        <v>399469</v>
      </c>
      <c r="B408">
        <v>3</v>
      </c>
      <c r="C408">
        <v>98.1</v>
      </c>
      <c r="D408">
        <v>98</v>
      </c>
      <c r="E408" t="s">
        <v>928</v>
      </c>
      <c r="J408">
        <v>981</v>
      </c>
    </row>
    <row r="409" spans="1:10" ht="57.6" x14ac:dyDescent="0.3">
      <c r="A409">
        <v>399470</v>
      </c>
      <c r="B409">
        <v>4</v>
      </c>
      <c r="C409">
        <v>98.1</v>
      </c>
      <c r="D409">
        <v>98.1</v>
      </c>
      <c r="E409" t="s">
        <v>928</v>
      </c>
      <c r="F409" s="1" t="s">
        <v>929</v>
      </c>
      <c r="J409">
        <v>9810</v>
      </c>
    </row>
    <row r="410" spans="1:10" x14ac:dyDescent="0.3">
      <c r="A410">
        <v>399471</v>
      </c>
      <c r="B410">
        <v>3</v>
      </c>
      <c r="C410">
        <v>98.2</v>
      </c>
      <c r="D410">
        <v>98</v>
      </c>
      <c r="E410" t="s">
        <v>930</v>
      </c>
      <c r="J410">
        <v>982</v>
      </c>
    </row>
    <row r="411" spans="1:10" ht="43.2" x14ac:dyDescent="0.3">
      <c r="A411">
        <v>399472</v>
      </c>
      <c r="B411">
        <v>4</v>
      </c>
      <c r="C411">
        <v>98.2</v>
      </c>
      <c r="D411">
        <v>98.2</v>
      </c>
      <c r="E411" t="s">
        <v>930</v>
      </c>
      <c r="F411" s="1" t="s">
        <v>931</v>
      </c>
      <c r="J411">
        <v>9820</v>
      </c>
    </row>
    <row r="412" spans="1:10" x14ac:dyDescent="0.3">
      <c r="A412">
        <v>399473</v>
      </c>
      <c r="B412">
        <v>1</v>
      </c>
      <c r="C412" t="s">
        <v>932</v>
      </c>
      <c r="E412" t="s">
        <v>933</v>
      </c>
      <c r="J412" t="s">
        <v>932</v>
      </c>
    </row>
    <row r="413" spans="1:10" x14ac:dyDescent="0.3">
      <c r="A413">
        <v>399474</v>
      </c>
      <c r="B413">
        <v>2</v>
      </c>
      <c r="C413">
        <v>99</v>
      </c>
      <c r="D413" t="s">
        <v>932</v>
      </c>
      <c r="E413" t="s">
        <v>934</v>
      </c>
      <c r="J413">
        <v>99</v>
      </c>
    </row>
    <row r="414" spans="1:10" x14ac:dyDescent="0.3">
      <c r="A414">
        <v>399475</v>
      </c>
      <c r="B414">
        <v>3</v>
      </c>
      <c r="C414">
        <v>99</v>
      </c>
      <c r="D414">
        <v>99</v>
      </c>
      <c r="E414" t="s">
        <v>934</v>
      </c>
      <c r="J414">
        <v>990</v>
      </c>
    </row>
    <row r="415" spans="1:10" ht="43.2" x14ac:dyDescent="0.3">
      <c r="A415">
        <v>399476</v>
      </c>
      <c r="B415">
        <v>4</v>
      </c>
      <c r="C415">
        <v>99</v>
      </c>
      <c r="D415">
        <v>99</v>
      </c>
      <c r="E415" t="s">
        <v>934</v>
      </c>
      <c r="F415" s="1" t="s">
        <v>935</v>
      </c>
      <c r="G415" s="1" t="s">
        <v>936</v>
      </c>
      <c r="J415">
        <v>9900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NACE_REV2_20210204_135820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Vitthal Sawant, Sagar</dc:creator>
  <cp:lastModifiedBy>Vitthal Sawant, Sagar</cp:lastModifiedBy>
  <dcterms:created xsi:type="dcterms:W3CDTF">2021-05-04T13:51:23Z</dcterms:created>
  <dcterms:modified xsi:type="dcterms:W3CDTF">2021-05-05T12:59:31Z</dcterms:modified>
</cp:coreProperties>
</file>